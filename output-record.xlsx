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ylum009\Desktop\Automation2.0\output\"/>
    </mc:Choice>
  </mc:AlternateContent>
  <xr:revisionPtr revIDLastSave="0" documentId="13_ncr:1_{F71212C2-C03F-46FC-B420-67947EB805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file" sheetId="1" r:id="rId1"/>
    <sheet name="KIV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5" i="1"/>
  <c r="O3" i="1" l="1"/>
  <c r="O4" i="1"/>
  <c r="O6" i="1"/>
</calcChain>
</file>

<file path=xl/sharedStrings.xml><?xml version="1.0" encoding="utf-8"?>
<sst xmlns="http://schemas.openxmlformats.org/spreadsheetml/2006/main" count="822" uniqueCount="171">
  <si>
    <t>Top section</t>
  </si>
  <si>
    <t>Section A</t>
  </si>
  <si>
    <t>Section B</t>
  </si>
  <si>
    <t>FORMULA</t>
  </si>
  <si>
    <t>Section C</t>
  </si>
  <si>
    <t>Section D</t>
  </si>
  <si>
    <t>Section E</t>
  </si>
  <si>
    <t>Manual input</t>
  </si>
  <si>
    <t>Tax Identification No. (TIN)</t>
  </si>
  <si>
    <t>Name</t>
  </si>
  <si>
    <t>No. Kad Pengenalan / No. Passport</t>
  </si>
  <si>
    <t>1. (a) Gross salary, wages or holiday pay (including overtime pay)</t>
  </si>
  <si>
    <t>1. (b) Fees (including directors' fees), commissions or bonuses</t>
  </si>
  <si>
    <t>1. (c) Gross tips, perquisites, acceptance of consolation or other allowances (Regarding payment: .....................)</t>
  </si>
  <si>
    <t>1. (d) Income tax paid by the employer on behalf of the employee</t>
  </si>
  <si>
    <t>1. (e) Manfaat Skim Opsyen Saham Pekerja (ESOS)</t>
  </si>
  <si>
    <t>1. (f) Remuneration for the period from ................. to .................</t>
  </si>
  <si>
    <t>2. Details of arrears and other payments for previous years in the current year</t>
  </si>
  <si>
    <t>3. Benefit in kinds (State....................)</t>
  </si>
  <si>
    <t>4. Value of living accommodation benefit (Address......................)</t>
  </si>
  <si>
    <t>5. Refund from unapproved Pension or Provident Fund, Scheme or Society (amount attributable to employer’s contribution only)</t>
  </si>
  <si>
    <t xml:space="preserve">6. Compensation for loss of employment </t>
  </si>
  <si>
    <t xml:space="preserve">TOTAL GROSS EMPLOYMENT INCOME </t>
  </si>
  <si>
    <t>Pension</t>
  </si>
  <si>
    <t>Annuities or other periodical payments</t>
  </si>
  <si>
    <t>Monthly tax deductions (MTD) remitted to LHDNM</t>
  </si>
  <si>
    <t>Zakat paid via salary deduction</t>
  </si>
  <si>
    <t>Relief - EPF (employee's contribution)</t>
  </si>
  <si>
    <t>Relief - SOCSO / EIS (employee's contribution)</t>
  </si>
  <si>
    <t>Tax residency status (R / NR)</t>
  </si>
  <si>
    <t>Other income sourced in Malaysia (Y/N)</t>
  </si>
  <si>
    <t>Foreign sources income (Not tax in other country)</t>
  </si>
  <si>
    <t>Approved Donations</t>
  </si>
  <si>
    <t xml:space="preserve">Total tax relief </t>
  </si>
  <si>
    <t>IG58033124050</t>
  </si>
  <si>
    <t>Petrus Nicolaas Felix Janszen</t>
  </si>
  <si>
    <t>BLHP5R101</t>
  </si>
  <si>
    <t>-</t>
  </si>
  <si>
    <t>NR</t>
  </si>
  <si>
    <t>IG58044292060</t>
  </si>
  <si>
    <t>Tjerk Cornelis Staal</t>
  </si>
  <si>
    <t>BJF177BB4</t>
  </si>
  <si>
    <t>R</t>
  </si>
  <si>
    <t>IG58044255010</t>
  </si>
  <si>
    <t>Haslan Bin Jalil</t>
  </si>
  <si>
    <t>K4324093N</t>
  </si>
  <si>
    <t>IG58085808010</t>
  </si>
  <si>
    <t>Julius Faustino Martina</t>
  </si>
  <si>
    <t>BKH30PD30</t>
  </si>
  <si>
    <t>IG58247900020</t>
  </si>
  <si>
    <t>Bram Van Der Elst</t>
  </si>
  <si>
    <t>EP524457</t>
  </si>
  <si>
    <t>IG58251868070</t>
  </si>
  <si>
    <t>Scott Lazaro Nieva</t>
  </si>
  <si>
    <t>P5791679B</t>
  </si>
  <si>
    <t>IG 58152507080</t>
  </si>
  <si>
    <t>Ricardo Jorge Dos Santos Guedes</t>
  </si>
  <si>
    <t>CE184190</t>
  </si>
  <si>
    <t>IG58167355070</t>
  </si>
  <si>
    <t>Mange Willem Wouter</t>
  </si>
  <si>
    <t>BEJ70P934</t>
  </si>
  <si>
    <t>IG 58150755100</t>
  </si>
  <si>
    <t>Teunissen Aron</t>
  </si>
  <si>
    <t>BJH3888L3</t>
  </si>
  <si>
    <t>IG58166834000</t>
  </si>
  <si>
    <t>Van Der Gun Gijsbertus Jacobus Maria</t>
  </si>
  <si>
    <t>BNH5JCDR9</t>
  </si>
  <si>
    <t>IG58163701010</t>
  </si>
  <si>
    <t>Mohammad Soufie Bin Abdul Latiff</t>
  </si>
  <si>
    <t>K4713580D</t>
  </si>
  <si>
    <t>IG58168095020</t>
  </si>
  <si>
    <t>Kan Klaas Dirk</t>
  </si>
  <si>
    <t>NX84L21P3</t>
  </si>
  <si>
    <t>IG58168094040</t>
  </si>
  <si>
    <t>Van Der Jagt Christiaan Maria</t>
  </si>
  <si>
    <t>NSOFBJD29</t>
  </si>
  <si>
    <t>IG58168289000</t>
  </si>
  <si>
    <t>Aerts Mathijs Franciscus Theodorus Maria</t>
  </si>
  <si>
    <t>NX3H96199</t>
  </si>
  <si>
    <t>IG58168104050</t>
  </si>
  <si>
    <t>Veen Jordy Marius</t>
  </si>
  <si>
    <t>BD71D96L3</t>
  </si>
  <si>
    <t>IG 58400649070</t>
  </si>
  <si>
    <t>Hoogerwerf Felix</t>
  </si>
  <si>
    <t>GA0129431</t>
  </si>
  <si>
    <t>IG 58212930030</t>
  </si>
  <si>
    <t>Munari Vanni</t>
  </si>
  <si>
    <t>YA6689933</t>
  </si>
  <si>
    <t>IG 58344920040</t>
  </si>
  <si>
    <t>Roldan Wally Grimaldo</t>
  </si>
  <si>
    <t>P6614966B</t>
  </si>
  <si>
    <t>IG 58398378020</t>
  </si>
  <si>
    <t>Decharit Manot</t>
  </si>
  <si>
    <t>AC2099921</t>
  </si>
  <si>
    <t>IG 58400994010</t>
  </si>
  <si>
    <t>Rollins Rhodes Cameron</t>
  </si>
  <si>
    <t>A04086110</t>
  </si>
  <si>
    <t>IG 26591636040</t>
  </si>
  <si>
    <t>Rilano Emin</t>
  </si>
  <si>
    <t>P7295823B</t>
  </si>
  <si>
    <t>IG58163409080</t>
  </si>
  <si>
    <t>Bos Christiaan</t>
  </si>
  <si>
    <t>BX3FLLF03</t>
  </si>
  <si>
    <t>IG58167364060</t>
  </si>
  <si>
    <t>Moreci Pierluigi</t>
  </si>
  <si>
    <t>YB1492694</t>
  </si>
  <si>
    <t>IG 11786168050</t>
  </si>
  <si>
    <t>Eduardo Monsales Arnejo</t>
  </si>
  <si>
    <t>P6229843B</t>
  </si>
  <si>
    <t>IG 58766253000</t>
  </si>
  <si>
    <t>Jouke Deinum</t>
  </si>
  <si>
    <t>BGDCLKP26</t>
  </si>
  <si>
    <t>IG 58764417060</t>
  </si>
  <si>
    <t>Tim Jack Korndolffer</t>
  </si>
  <si>
    <t>NU4B2DFR7</t>
  </si>
  <si>
    <t>IG 59559658040</t>
  </si>
  <si>
    <t>Yan Myo Aung</t>
  </si>
  <si>
    <t>MF830106</t>
  </si>
  <si>
    <t>IG 58832243010</t>
  </si>
  <si>
    <t>Willem Fredrik Prins</t>
  </si>
  <si>
    <t>NWL35K253</t>
  </si>
  <si>
    <t>IG 26613989020</t>
  </si>
  <si>
    <t>Gary Garrientos Gerena</t>
  </si>
  <si>
    <t>P6116874A</t>
  </si>
  <si>
    <t>IG 58832351090</t>
  </si>
  <si>
    <t>Chanyut Iamsa-Ard</t>
  </si>
  <si>
    <t>AC5865270</t>
  </si>
  <si>
    <t>IG 58840265060</t>
  </si>
  <si>
    <t>Jetho Domingo Abad</t>
  </si>
  <si>
    <t>P5707270B</t>
  </si>
  <si>
    <t>IG 58834968020</t>
  </si>
  <si>
    <t>Eufemio Terre Calapis</t>
  </si>
  <si>
    <t>P5351457B</t>
  </si>
  <si>
    <t>IG 58832384050</t>
  </si>
  <si>
    <t>Danny Delos Reyes Demecais</t>
  </si>
  <si>
    <t>P6609225B</t>
  </si>
  <si>
    <t>IG 58840289030</t>
  </si>
  <si>
    <t>Jason Ramirez Magsino</t>
  </si>
  <si>
    <t>P1382935B</t>
  </si>
  <si>
    <t>IG 58832370050</t>
  </si>
  <si>
    <t>Domingo Jr. Flores Nava</t>
  </si>
  <si>
    <t>P6432422A</t>
  </si>
  <si>
    <t>IG 58832314040</t>
  </si>
  <si>
    <t>Bobby Duran Pasibe</t>
  </si>
  <si>
    <t>P9959432A</t>
  </si>
  <si>
    <t>IG 58834774040</t>
  </si>
  <si>
    <t>Laurence Riomalos Riomalos</t>
  </si>
  <si>
    <t>P7014417B</t>
  </si>
  <si>
    <t>Info required in e-BE/M</t>
  </si>
  <si>
    <t>Current passport no.</t>
  </si>
  <si>
    <t>Citizen</t>
  </si>
  <si>
    <t>Type of assessment</t>
  </si>
  <si>
    <t>Date of birth</t>
  </si>
  <si>
    <t>Expiry date of current passport</t>
  </si>
  <si>
    <t>Record-keeping</t>
  </si>
  <si>
    <t>Identification no.</t>
  </si>
  <si>
    <t>Passport no. registered with LHDNM</t>
  </si>
  <si>
    <t>Gender</t>
  </si>
  <si>
    <t>Marital Status as at 31-12-2024</t>
  </si>
  <si>
    <t>Date of marriage</t>
  </si>
  <si>
    <t>Telephone no.</t>
  </si>
  <si>
    <t>Handphone no.</t>
  </si>
  <si>
    <t>e-Mail</t>
  </si>
  <si>
    <t>Employer's no.</t>
  </si>
  <si>
    <t>Tax borne by employer</t>
  </si>
  <si>
    <t>Disposal of asset under the Real Property Gains Tax Act 1976</t>
  </si>
  <si>
    <t>Disposal declared to LHDNM</t>
  </si>
  <si>
    <t>Has financial account(s) at financial institution(s) outside Malaysia</t>
  </si>
  <si>
    <t>Method of payment for tax refund : Payment via bank account</t>
  </si>
  <si>
    <t>Correspondence address</t>
  </si>
  <si>
    <t>Name of husband / wife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</si>
</sst>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0"/>
      <color rgb="FF000000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sz val="11"/>
      <color rgb="FF000000"/>
      <name val="Georgia"/>
      <family val="1"/>
    </font>
    <font>
      <b/>
      <sz val="11"/>
      <color rgb="FF000000"/>
      <name val="Georgia"/>
      <family val="1"/>
    </font>
    <font>
      <b/>
      <sz val="11"/>
      <color rgb="FFFF0000"/>
      <name val="Georgia"/>
      <family val="1"/>
    </font>
    <font>
      <b/>
      <sz val="11"/>
      <color theme="0"/>
      <name val="Georgia"/>
      <family val="1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rgb="FF00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6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/>
    <xf numFmtId="0" fontId="6" fillId="8" borderId="1" xfId="0" applyFont="1" applyFill="1" applyBorder="1" applyAlignment="1">
      <alignment vertical="top" wrapText="1"/>
    </xf>
    <xf numFmtId="4" fontId="3" fillId="0" borderId="0" xfId="0" applyNumberFormat="1" applyFont="1"/>
    <xf numFmtId="0" fontId="3" fillId="0" borderId="0" xfId="0" applyFont="1" applyAlignment="1">
      <alignment horizontal="left"/>
    </xf>
    <xf numFmtId="43" fontId="3" fillId="0" borderId="0" xfId="1" applyFont="1"/>
    <xf numFmtId="43" fontId="3" fillId="0" borderId="0" xfId="1" applyFont="1" applyFill="1"/>
    <xf numFmtId="0" fontId="3" fillId="7" borderId="0" xfId="0" applyFont="1" applyFill="1"/>
    <xf numFmtId="4" fontId="3" fillId="0" borderId="0" xfId="0" quotePrefix="1" applyNumberFormat="1" applyFont="1" applyAlignment="1">
      <alignment horizontal="right"/>
    </xf>
    <xf numFmtId="0" fontId="3" fillId="0" borderId="0" xfId="0" quotePrefix="1" applyFont="1" applyAlignment="1">
      <alignment horizontal="right"/>
    </xf>
    <xf numFmtId="43" fontId="3" fillId="0" borderId="0" xfId="1" quotePrefix="1" applyFont="1" applyAlignment="1">
      <alignment horizontal="right" vertical="center"/>
    </xf>
    <xf numFmtId="43" fontId="3" fillId="0" borderId="0" xfId="1" applyFont="1" applyAlignment="1">
      <alignment horizontal="right" indent="1"/>
    </xf>
    <xf numFmtId="0" fontId="1" fillId="0" borderId="0" xfId="0" applyFont="1" applyAlignment="1">
      <alignment horizontal="left"/>
    </xf>
    <xf numFmtId="0" fontId="5" fillId="7" borderId="2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0" borderId="3" xfId="0" applyBorder="1"/>
    <xf numFmtId="0" fontId="4" fillId="5" borderId="1" xfId="0" applyFont="1" applyFill="1" applyBorder="1" applyAlignment="1">
      <alignment horizontal="center"/>
    </xf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Z40"/>
  <sheetViews>
    <sheetView tabSelected="1" topLeftCell="G1" workbookViewId="0">
      <selection activeCell="O26" sqref="O26"/>
    </sheetView>
  </sheetViews>
  <sheetFormatPr defaultColWidth="8.88671875" defaultRowHeight="13.8" x14ac:dyDescent="0.25"/>
  <cols>
    <col min="1" max="1" width="18.33203125" style="5" customWidth="1"/>
    <col min="2" max="2" width="42.109375" style="5" customWidth="1"/>
    <col min="3" max="3" width="13.6640625" style="5" bestFit="1" customWidth="1"/>
    <col min="4" max="4" width="13" style="5" customWidth="1"/>
    <col min="5" max="5" width="12" style="5" customWidth="1"/>
    <col min="6" max="6" width="14.33203125" style="5" customWidth="1"/>
    <col min="7" max="7" width="11.5546875" style="5" customWidth="1"/>
    <col min="8" max="8" width="10.33203125" style="5" customWidth="1"/>
    <col min="9" max="9" width="12.6640625" style="5" customWidth="1"/>
    <col min="10" max="10" width="11.6640625" style="5" customWidth="1"/>
    <col min="11" max="12" width="12.33203125" style="5" customWidth="1"/>
    <col min="13" max="13" width="13.88671875" style="5" customWidth="1"/>
    <col min="14" max="14" width="14.44140625" style="5" customWidth="1"/>
    <col min="15" max="15" width="16.109375" style="5" customWidth="1"/>
    <col min="16" max="16" width="8.88671875" style="5" customWidth="1"/>
    <col min="17" max="17" width="10.33203125" style="5" customWidth="1"/>
    <col min="18" max="18" width="12.88671875" style="5" customWidth="1"/>
    <col min="19" max="19" width="10.5546875" style="5" customWidth="1"/>
    <col min="20" max="20" width="13.6640625" style="5" customWidth="1"/>
    <col min="21" max="21" width="13.33203125" style="5" customWidth="1"/>
    <col min="22" max="22" width="11.6640625" style="5" customWidth="1"/>
    <col min="23" max="23" width="10.88671875" style="5" customWidth="1"/>
    <col min="24" max="24" width="11.33203125" style="5" customWidth="1"/>
    <col min="25" max="25" width="11.109375" style="5" customWidth="1"/>
    <col min="26" max="26" width="14.44140625" style="5" customWidth="1"/>
    <col min="27" max="34" width="8.88671875" style="5" customWidth="1"/>
    <col min="35" max="16384" width="8.88671875" style="5"/>
  </cols>
  <sheetData>
    <row r="1" spans="1:26" s="8" customFormat="1" ht="15" customHeight="1" x14ac:dyDescent="0.3">
      <c r="A1" s="7" t="s">
        <v>0</v>
      </c>
      <c r="B1" s="22" t="s">
        <v>1</v>
      </c>
      <c r="C1" s="23"/>
      <c r="D1" s="24" t="s">
        <v>2</v>
      </c>
      <c r="E1" s="25"/>
      <c r="F1" s="25"/>
      <c r="G1" s="25"/>
      <c r="H1" s="25"/>
      <c r="I1" s="25"/>
      <c r="J1" s="25"/>
      <c r="K1" s="25"/>
      <c r="L1" s="25"/>
      <c r="M1" s="25"/>
      <c r="N1" s="23"/>
      <c r="O1" s="9" t="s">
        <v>3</v>
      </c>
      <c r="P1" s="22" t="s">
        <v>4</v>
      </c>
      <c r="Q1" s="23"/>
      <c r="R1" s="24" t="s">
        <v>5</v>
      </c>
      <c r="S1" s="23"/>
      <c r="T1" s="22" t="s">
        <v>6</v>
      </c>
      <c r="U1" s="23"/>
      <c r="V1" s="20" t="s">
        <v>7</v>
      </c>
      <c r="W1" s="21"/>
      <c r="X1" s="21"/>
      <c r="Y1" s="21"/>
      <c r="Z1" s="21"/>
    </row>
    <row r="2" spans="1:26" ht="179.4" customHeight="1" x14ac:dyDescent="0.25">
      <c r="A2" s="1" t="s">
        <v>8</v>
      </c>
      <c r="B2" s="1" t="s">
        <v>9</v>
      </c>
      <c r="C2" s="1" t="s">
        <v>10</v>
      </c>
      <c r="D2" s="2" t="s">
        <v>11</v>
      </c>
      <c r="E2" s="1" t="s">
        <v>12</v>
      </c>
      <c r="F2" s="2" t="s">
        <v>13</v>
      </c>
      <c r="G2" s="1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1" t="s">
        <v>20</v>
      </c>
      <c r="N2" s="2" t="s">
        <v>21</v>
      </c>
      <c r="O2" s="9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6" t="s">
        <v>29</v>
      </c>
      <c r="W2" s="6" t="s">
        <v>30</v>
      </c>
      <c r="X2" s="6" t="s">
        <v>31</v>
      </c>
      <c r="Y2" s="6" t="s">
        <v>32</v>
      </c>
      <c r="Z2" s="6" t="s">
        <v>33</v>
      </c>
    </row>
    <row r="3" spans="1:26" x14ac:dyDescent="0.25">
      <c r="A3" s="5" t="s">
        <v>34</v>
      </c>
      <c r="B3" s="14" t="s">
        <v>35</v>
      </c>
      <c r="C3" s="5" t="s">
        <v>36</v>
      </c>
      <c r="D3" s="10">
        <v>361599.76</v>
      </c>
      <c r="E3" s="15" t="s">
        <v>37</v>
      </c>
      <c r="F3" s="15" t="s">
        <v>37</v>
      </c>
      <c r="G3" s="10">
        <v>120811</v>
      </c>
      <c r="H3" s="16" t="s">
        <v>37</v>
      </c>
      <c r="I3" s="16" t="s">
        <v>37</v>
      </c>
      <c r="J3" s="16" t="s">
        <v>37</v>
      </c>
      <c r="K3" s="10">
        <v>27000</v>
      </c>
      <c r="L3" s="10">
        <v>14102.13</v>
      </c>
      <c r="M3" s="16" t="s">
        <v>37</v>
      </c>
      <c r="N3" s="16" t="s">
        <v>37</v>
      </c>
      <c r="O3" s="12">
        <f>SUM(D3:N3)</f>
        <v>523512.89</v>
      </c>
      <c r="P3" s="16" t="s">
        <v>37</v>
      </c>
      <c r="Q3" s="16" t="s">
        <v>37</v>
      </c>
      <c r="R3" s="10">
        <v>157053.54999999999</v>
      </c>
      <c r="S3" s="16" t="s">
        <v>37</v>
      </c>
      <c r="T3" s="16" t="s">
        <v>37</v>
      </c>
      <c r="U3" s="16" t="s">
        <v>37</v>
      </c>
      <c r="V3" s="5" t="s">
        <v>38</v>
      </c>
      <c r="W3" s="17" t="s">
        <v>37</v>
      </c>
      <c r="X3" s="17" t="s">
        <v>37</v>
      </c>
      <c r="Y3" s="17" t="s">
        <v>37</v>
      </c>
      <c r="Z3" s="18">
        <v>0</v>
      </c>
    </row>
    <row r="4" spans="1:26" x14ac:dyDescent="0.25">
      <c r="A4" s="5" t="s">
        <v>39</v>
      </c>
      <c r="B4" s="14" t="s">
        <v>40</v>
      </c>
      <c r="C4" s="11" t="s">
        <v>41</v>
      </c>
      <c r="D4" s="10">
        <v>518811.03</v>
      </c>
      <c r="E4" s="15" t="s">
        <v>37</v>
      </c>
      <c r="F4" s="10">
        <v>133.87</v>
      </c>
      <c r="G4" s="10">
        <v>165749</v>
      </c>
      <c r="H4" s="16" t="s">
        <v>37</v>
      </c>
      <c r="I4" s="16" t="s">
        <v>37</v>
      </c>
      <c r="J4" s="16" t="s">
        <v>37</v>
      </c>
      <c r="K4" s="10">
        <v>19438.98</v>
      </c>
      <c r="L4" s="10">
        <v>14112.41</v>
      </c>
      <c r="M4" s="16" t="s">
        <v>37</v>
      </c>
      <c r="N4" s="16" t="s">
        <v>37</v>
      </c>
      <c r="O4" s="12">
        <f t="shared" ref="O4:O39" si="0">SUM(D4:N4)</f>
        <v>718245.29</v>
      </c>
      <c r="P4" s="16" t="s">
        <v>37</v>
      </c>
      <c r="Q4" s="16" t="s">
        <v>37</v>
      </c>
      <c r="R4" s="10">
        <v>166988.70000000001</v>
      </c>
      <c r="S4" s="16" t="s">
        <v>37</v>
      </c>
      <c r="T4" s="16" t="s">
        <v>37</v>
      </c>
      <c r="U4" s="16" t="s">
        <v>37</v>
      </c>
      <c r="V4" s="5" t="s">
        <v>42</v>
      </c>
      <c r="W4" s="17" t="s">
        <v>37</v>
      </c>
      <c r="X4" s="17" t="s">
        <v>37</v>
      </c>
      <c r="Y4" s="17" t="s">
        <v>37</v>
      </c>
      <c r="Z4" s="12">
        <v>9000</v>
      </c>
    </row>
    <row r="5" spans="1:26" x14ac:dyDescent="0.25">
      <c r="A5" s="5" t="s">
        <v>43</v>
      </c>
      <c r="B5" s="14" t="s">
        <v>44</v>
      </c>
      <c r="C5" s="11" t="s">
        <v>45</v>
      </c>
      <c r="D5" s="10">
        <v>97336.25</v>
      </c>
      <c r="E5" s="15" t="s">
        <v>37</v>
      </c>
      <c r="F5" s="15" t="s">
        <v>37</v>
      </c>
      <c r="G5" s="10">
        <v>34066</v>
      </c>
      <c r="H5" s="16" t="s">
        <v>37</v>
      </c>
      <c r="I5" s="16" t="s">
        <v>37</v>
      </c>
      <c r="J5" s="16" t="s">
        <v>37</v>
      </c>
      <c r="K5" s="10">
        <v>2595.38</v>
      </c>
      <c r="L5" s="10">
        <v>13623.23</v>
      </c>
      <c r="M5" s="16" t="s">
        <v>37</v>
      </c>
      <c r="N5" s="16" t="s">
        <v>37</v>
      </c>
      <c r="O5" s="12">
        <f t="shared" si="0"/>
        <v>147620.86000000002</v>
      </c>
      <c r="P5" s="16" t="s">
        <v>37</v>
      </c>
      <c r="Q5" s="16" t="s">
        <v>37</v>
      </c>
      <c r="R5" s="10">
        <v>44286.5</v>
      </c>
      <c r="S5" s="16" t="s">
        <v>37</v>
      </c>
      <c r="T5" s="16" t="s">
        <v>37</v>
      </c>
      <c r="U5" s="16" t="s">
        <v>37</v>
      </c>
      <c r="V5" s="5" t="s">
        <v>38</v>
      </c>
      <c r="W5" s="17" t="s">
        <v>37</v>
      </c>
      <c r="X5" s="17" t="s">
        <v>37</v>
      </c>
      <c r="Y5" s="17" t="s">
        <v>37</v>
      </c>
      <c r="Z5" s="17" t="s">
        <v>37</v>
      </c>
    </row>
    <row r="6" spans="1:26" x14ac:dyDescent="0.25">
      <c r="A6" s="5" t="s">
        <v>46</v>
      </c>
      <c r="B6" s="14" t="s">
        <v>47</v>
      </c>
      <c r="C6" s="11" t="s">
        <v>48</v>
      </c>
      <c r="D6" s="10">
        <v>110796.2</v>
      </c>
      <c r="E6" s="15" t="s">
        <v>37</v>
      </c>
      <c r="F6" s="15" t="s">
        <v>37</v>
      </c>
      <c r="G6" s="10">
        <v>33839</v>
      </c>
      <c r="H6" s="16" t="s">
        <v>37</v>
      </c>
      <c r="I6" s="16" t="s">
        <v>37</v>
      </c>
      <c r="J6" s="16" t="s">
        <v>37</v>
      </c>
      <c r="K6" s="10">
        <v>2000</v>
      </c>
      <c r="L6" s="15" t="s">
        <v>37</v>
      </c>
      <c r="M6" s="16" t="s">
        <v>37</v>
      </c>
      <c r="N6" s="16" t="s">
        <v>37</v>
      </c>
      <c r="O6" s="12">
        <f t="shared" si="0"/>
        <v>146635.20000000001</v>
      </c>
      <c r="P6" s="16" t="s">
        <v>37</v>
      </c>
      <c r="Q6" s="16" t="s">
        <v>37</v>
      </c>
      <c r="R6" s="10">
        <v>45269.1</v>
      </c>
      <c r="S6" s="16" t="s">
        <v>37</v>
      </c>
      <c r="T6" s="16" t="s">
        <v>37</v>
      </c>
      <c r="U6" s="16" t="s">
        <v>37</v>
      </c>
      <c r="V6" s="5" t="s">
        <v>38</v>
      </c>
      <c r="W6" s="17" t="s">
        <v>37</v>
      </c>
      <c r="X6" s="17" t="s">
        <v>37</v>
      </c>
      <c r="Y6" s="17" t="s">
        <v>37</v>
      </c>
      <c r="Z6" s="17" t="s">
        <v>37</v>
      </c>
    </row>
    <row r="7" spans="1:26" x14ac:dyDescent="0.25">
      <c r="A7" s="5" t="s">
        <v>49</v>
      </c>
      <c r="B7" s="14" t="s">
        <v>50</v>
      </c>
      <c r="C7" s="11" t="s">
        <v>51</v>
      </c>
      <c r="D7" s="10">
        <v>168703.15</v>
      </c>
      <c r="E7" s="15" t="s">
        <v>37</v>
      </c>
      <c r="F7" s="10">
        <v>25.18</v>
      </c>
      <c r="G7" s="10">
        <v>51218</v>
      </c>
      <c r="H7" s="16" t="s">
        <v>37</v>
      </c>
      <c r="I7" s="16" t="s">
        <v>37</v>
      </c>
      <c r="J7" s="16" t="s">
        <v>37</v>
      </c>
      <c r="K7" s="13">
        <v>2000</v>
      </c>
      <c r="L7" s="15" t="s">
        <v>37</v>
      </c>
      <c r="M7" s="16" t="s">
        <v>37</v>
      </c>
      <c r="N7" s="16" t="s">
        <v>37</v>
      </c>
      <c r="O7" s="12">
        <f t="shared" si="0"/>
        <v>221946.33</v>
      </c>
      <c r="P7" s="16" t="s">
        <v>37</v>
      </c>
      <c r="Q7" s="16" t="s">
        <v>37</v>
      </c>
      <c r="R7" s="10">
        <v>69333.600000000006</v>
      </c>
      <c r="S7" s="16" t="s">
        <v>37</v>
      </c>
      <c r="T7" s="16" t="s">
        <v>37</v>
      </c>
      <c r="U7" s="16" t="s">
        <v>37</v>
      </c>
      <c r="V7" s="5" t="s">
        <v>38</v>
      </c>
      <c r="W7" s="17" t="s">
        <v>37</v>
      </c>
      <c r="X7" s="17" t="s">
        <v>37</v>
      </c>
      <c r="Y7" s="17" t="s">
        <v>37</v>
      </c>
      <c r="Z7" s="17" t="s">
        <v>37</v>
      </c>
    </row>
    <row r="8" spans="1:26" x14ac:dyDescent="0.25">
      <c r="A8" s="5" t="s">
        <v>52</v>
      </c>
      <c r="B8" s="14" t="s">
        <v>53</v>
      </c>
      <c r="C8" s="11" t="s">
        <v>54</v>
      </c>
      <c r="D8" s="10">
        <v>94334.25</v>
      </c>
      <c r="E8" s="15" t="s">
        <v>37</v>
      </c>
      <c r="F8" s="10">
        <v>22.9</v>
      </c>
      <c r="G8" s="10">
        <v>28308</v>
      </c>
      <c r="H8" s="16" t="s">
        <v>37</v>
      </c>
      <c r="I8" s="16" t="s">
        <v>37</v>
      </c>
      <c r="J8" s="16" t="s">
        <v>37</v>
      </c>
      <c r="K8" s="15" t="s">
        <v>37</v>
      </c>
      <c r="L8" s="15" t="s">
        <v>37</v>
      </c>
      <c r="M8" s="16" t="s">
        <v>37</v>
      </c>
      <c r="N8" s="16" t="s">
        <v>37</v>
      </c>
      <c r="O8" s="12">
        <f t="shared" si="0"/>
        <v>122665.15</v>
      </c>
      <c r="P8" s="16" t="s">
        <v>37</v>
      </c>
      <c r="Q8" s="16" t="s">
        <v>37</v>
      </c>
      <c r="R8" s="10">
        <v>36786.25</v>
      </c>
      <c r="S8" s="16" t="s">
        <v>37</v>
      </c>
      <c r="T8" s="16" t="s">
        <v>37</v>
      </c>
      <c r="U8" s="16" t="s">
        <v>37</v>
      </c>
      <c r="V8" s="5" t="s">
        <v>38</v>
      </c>
      <c r="W8" s="17" t="s">
        <v>37</v>
      </c>
      <c r="X8" s="17" t="s">
        <v>37</v>
      </c>
      <c r="Y8" s="17" t="s">
        <v>37</v>
      </c>
      <c r="Z8" s="17" t="s">
        <v>37</v>
      </c>
    </row>
    <row r="9" spans="1:26" x14ac:dyDescent="0.25">
      <c r="A9" s="5" t="s">
        <v>55</v>
      </c>
      <c r="B9" s="14" t="s">
        <v>56</v>
      </c>
      <c r="C9" s="5" t="s">
        <v>57</v>
      </c>
      <c r="D9" s="10">
        <v>136925.06</v>
      </c>
      <c r="E9" s="15" t="s">
        <v>37</v>
      </c>
      <c r="F9" s="10">
        <v>42.25</v>
      </c>
      <c r="G9" s="10">
        <v>41691</v>
      </c>
      <c r="H9" s="16" t="s">
        <v>37</v>
      </c>
      <c r="I9" s="16" t="s">
        <v>37</v>
      </c>
      <c r="J9" s="16" t="s">
        <v>37</v>
      </c>
      <c r="K9" s="12">
        <v>2000</v>
      </c>
      <c r="L9" s="15" t="s">
        <v>37</v>
      </c>
      <c r="M9" s="16" t="s">
        <v>37</v>
      </c>
      <c r="N9" s="16" t="s">
        <v>37</v>
      </c>
      <c r="O9" s="12">
        <f t="shared" si="0"/>
        <v>180658.31</v>
      </c>
      <c r="P9" s="16" t="s">
        <v>37</v>
      </c>
      <c r="Q9" s="16" t="s">
        <v>37</v>
      </c>
      <c r="R9" s="10">
        <v>54197.5</v>
      </c>
      <c r="S9" s="16" t="s">
        <v>37</v>
      </c>
      <c r="T9" s="16" t="s">
        <v>37</v>
      </c>
      <c r="U9" s="16" t="s">
        <v>37</v>
      </c>
      <c r="V9" s="5" t="s">
        <v>38</v>
      </c>
      <c r="W9" s="17" t="s">
        <v>37</v>
      </c>
      <c r="X9" s="17" t="s">
        <v>37</v>
      </c>
      <c r="Y9" s="17" t="s">
        <v>37</v>
      </c>
      <c r="Z9" s="17" t="s">
        <v>37</v>
      </c>
    </row>
    <row r="10" spans="1:26" x14ac:dyDescent="0.25">
      <c r="A10" s="5" t="s">
        <v>58</v>
      </c>
      <c r="B10" s="14" t="s">
        <v>59</v>
      </c>
      <c r="C10" s="5" t="s">
        <v>60</v>
      </c>
      <c r="D10" s="10">
        <v>159777.78</v>
      </c>
      <c r="E10" s="15" t="s">
        <v>37</v>
      </c>
      <c r="F10" s="5">
        <v>34.5</v>
      </c>
      <c r="G10" s="10">
        <v>48545</v>
      </c>
      <c r="H10" s="16" t="s">
        <v>37</v>
      </c>
      <c r="I10" s="16" t="s">
        <v>37</v>
      </c>
      <c r="J10" s="16" t="s">
        <v>37</v>
      </c>
      <c r="K10" s="10">
        <v>2000</v>
      </c>
      <c r="L10" s="15" t="s">
        <v>37</v>
      </c>
      <c r="M10" s="16" t="s">
        <v>37</v>
      </c>
      <c r="N10" s="16" t="s">
        <v>37</v>
      </c>
      <c r="O10" s="12">
        <f t="shared" si="0"/>
        <v>210357.28</v>
      </c>
      <c r="P10" s="16" t="s">
        <v>37</v>
      </c>
      <c r="Q10" s="16" t="s">
        <v>37</v>
      </c>
      <c r="R10" s="10">
        <v>64627.25</v>
      </c>
      <c r="S10" s="16" t="s">
        <v>37</v>
      </c>
      <c r="T10" s="16" t="s">
        <v>37</v>
      </c>
      <c r="U10" s="16" t="s">
        <v>37</v>
      </c>
      <c r="V10" s="5" t="s">
        <v>38</v>
      </c>
      <c r="W10" s="17" t="s">
        <v>37</v>
      </c>
      <c r="X10" s="17" t="s">
        <v>37</v>
      </c>
      <c r="Y10" s="17" t="s">
        <v>37</v>
      </c>
      <c r="Z10" s="17" t="s">
        <v>37</v>
      </c>
    </row>
    <row r="11" spans="1:26" x14ac:dyDescent="0.25">
      <c r="A11" s="5" t="s">
        <v>61</v>
      </c>
      <c r="B11" s="14" t="s">
        <v>62</v>
      </c>
      <c r="C11" s="5" t="s">
        <v>63</v>
      </c>
      <c r="D11" s="10">
        <v>225893.48</v>
      </c>
      <c r="E11" s="15" t="s">
        <v>37</v>
      </c>
      <c r="F11" s="10">
        <v>37.75</v>
      </c>
      <c r="G11" s="10">
        <v>68379</v>
      </c>
      <c r="H11" s="16" t="s">
        <v>37</v>
      </c>
      <c r="I11" s="16" t="s">
        <v>37</v>
      </c>
      <c r="J11" s="16" t="s">
        <v>37</v>
      </c>
      <c r="K11" s="10">
        <v>2000</v>
      </c>
      <c r="L11" s="15" t="s">
        <v>37</v>
      </c>
      <c r="M11" s="16" t="s">
        <v>37</v>
      </c>
      <c r="N11" s="16" t="s">
        <v>37</v>
      </c>
      <c r="O11" s="12">
        <f t="shared" si="0"/>
        <v>296310.23</v>
      </c>
      <c r="P11" s="16" t="s">
        <v>37</v>
      </c>
      <c r="Q11" s="16" t="s">
        <v>37</v>
      </c>
      <c r="R11" s="10">
        <v>90988.7</v>
      </c>
      <c r="S11" s="16" t="s">
        <v>37</v>
      </c>
      <c r="T11" s="16" t="s">
        <v>37</v>
      </c>
      <c r="U11" s="16" t="s">
        <v>37</v>
      </c>
      <c r="V11" s="5" t="s">
        <v>38</v>
      </c>
      <c r="W11" s="17" t="s">
        <v>37</v>
      </c>
      <c r="X11" s="17" t="s">
        <v>37</v>
      </c>
      <c r="Y11" s="17" t="s">
        <v>37</v>
      </c>
      <c r="Z11" s="17" t="s">
        <v>37</v>
      </c>
    </row>
    <row r="12" spans="1:26" x14ac:dyDescent="0.25">
      <c r="A12" s="5" t="s">
        <v>64</v>
      </c>
      <c r="B12" s="14" t="s">
        <v>65</v>
      </c>
      <c r="C12" s="5" t="s">
        <v>66</v>
      </c>
      <c r="D12" s="10">
        <v>98221.73</v>
      </c>
      <c r="E12" s="15" t="s">
        <v>37</v>
      </c>
      <c r="F12" s="10">
        <v>34.5</v>
      </c>
      <c r="G12" s="10">
        <v>30077</v>
      </c>
      <c r="H12" s="16" t="s">
        <v>37</v>
      </c>
      <c r="I12" s="16" t="s">
        <v>37</v>
      </c>
      <c r="J12" s="16" t="s">
        <v>37</v>
      </c>
      <c r="K12" s="10">
        <v>2000</v>
      </c>
      <c r="L12" s="15" t="s">
        <v>37</v>
      </c>
      <c r="M12" s="16" t="s">
        <v>37</v>
      </c>
      <c r="N12" s="16" t="s">
        <v>37</v>
      </c>
      <c r="O12" s="12">
        <f t="shared" si="0"/>
        <v>130333.23</v>
      </c>
      <c r="P12" s="16" t="s">
        <v>37</v>
      </c>
      <c r="Q12" s="16" t="s">
        <v>37</v>
      </c>
      <c r="R12" s="10">
        <v>40507.050000000003</v>
      </c>
      <c r="S12" s="16" t="s">
        <v>37</v>
      </c>
      <c r="T12" s="16" t="s">
        <v>37</v>
      </c>
      <c r="U12" s="16" t="s">
        <v>37</v>
      </c>
      <c r="V12" s="5" t="s">
        <v>38</v>
      </c>
      <c r="W12" s="17" t="s">
        <v>37</v>
      </c>
      <c r="X12" s="17" t="s">
        <v>37</v>
      </c>
      <c r="Y12" s="17" t="s">
        <v>37</v>
      </c>
      <c r="Z12" s="17" t="s">
        <v>37</v>
      </c>
    </row>
    <row r="13" spans="1:26" x14ac:dyDescent="0.25">
      <c r="A13" s="5" t="s">
        <v>67</v>
      </c>
      <c r="B13" s="14" t="s">
        <v>68</v>
      </c>
      <c r="C13" s="5" t="s">
        <v>69</v>
      </c>
      <c r="D13" s="10">
        <v>41311.379999999997</v>
      </c>
      <c r="E13" s="15" t="s">
        <v>37</v>
      </c>
      <c r="F13" s="16" t="s">
        <v>37</v>
      </c>
      <c r="G13" s="10">
        <v>12394</v>
      </c>
      <c r="H13" s="16" t="s">
        <v>37</v>
      </c>
      <c r="I13" s="16" t="s">
        <v>37</v>
      </c>
      <c r="J13" s="16" t="s">
        <v>37</v>
      </c>
      <c r="L13" s="15" t="s">
        <v>37</v>
      </c>
      <c r="M13" s="16" t="s">
        <v>37</v>
      </c>
      <c r="N13" s="16" t="s">
        <v>37</v>
      </c>
      <c r="O13" s="12">
        <f t="shared" si="0"/>
        <v>53705.38</v>
      </c>
      <c r="P13" s="16" t="s">
        <v>37</v>
      </c>
      <c r="Q13" s="16" t="s">
        <v>37</v>
      </c>
      <c r="R13" s="10">
        <v>17705.099999999999</v>
      </c>
      <c r="S13" s="16" t="s">
        <v>37</v>
      </c>
      <c r="T13" s="16" t="s">
        <v>37</v>
      </c>
      <c r="U13" s="16" t="s">
        <v>37</v>
      </c>
      <c r="V13" s="5" t="s">
        <v>38</v>
      </c>
      <c r="W13" s="17" t="s">
        <v>37</v>
      </c>
      <c r="X13" s="17" t="s">
        <v>37</v>
      </c>
      <c r="Y13" s="17" t="s">
        <v>37</v>
      </c>
      <c r="Z13" s="17" t="s">
        <v>37</v>
      </c>
    </row>
    <row r="14" spans="1:26" x14ac:dyDescent="0.25">
      <c r="A14" s="5" t="s">
        <v>70</v>
      </c>
      <c r="B14" s="14" t="s">
        <v>71</v>
      </c>
      <c r="C14" s="5" t="s">
        <v>72</v>
      </c>
      <c r="D14" s="10">
        <v>113480.43</v>
      </c>
      <c r="E14" s="15" t="s">
        <v>37</v>
      </c>
      <c r="F14" s="5">
        <v>37.75</v>
      </c>
      <c r="G14" s="10">
        <v>36155</v>
      </c>
      <c r="H14" s="16" t="s">
        <v>37</v>
      </c>
      <c r="I14" s="16" t="s">
        <v>37</v>
      </c>
      <c r="J14" s="16" t="s">
        <v>37</v>
      </c>
      <c r="K14" s="10">
        <v>7000</v>
      </c>
      <c r="L14" s="15" t="s">
        <v>37</v>
      </c>
      <c r="M14" s="16" t="s">
        <v>37</v>
      </c>
      <c r="N14" s="16" t="s">
        <v>37</v>
      </c>
      <c r="O14" s="12">
        <f t="shared" si="0"/>
        <v>156673.18</v>
      </c>
      <c r="P14" s="16" t="s">
        <v>37</v>
      </c>
      <c r="Q14" s="16" t="s">
        <v>37</v>
      </c>
      <c r="R14" s="10">
        <v>46998.65</v>
      </c>
      <c r="S14" s="16" t="s">
        <v>37</v>
      </c>
      <c r="T14" s="16" t="s">
        <v>37</v>
      </c>
      <c r="U14" s="16" t="s">
        <v>37</v>
      </c>
      <c r="V14" s="5" t="s">
        <v>38</v>
      </c>
      <c r="W14" s="17" t="s">
        <v>37</v>
      </c>
      <c r="X14" s="17" t="s">
        <v>37</v>
      </c>
      <c r="Y14" s="17" t="s">
        <v>37</v>
      </c>
      <c r="Z14" s="17" t="s">
        <v>37</v>
      </c>
    </row>
    <row r="15" spans="1:26" x14ac:dyDescent="0.25">
      <c r="A15" s="5" t="s">
        <v>73</v>
      </c>
      <c r="B15" s="14" t="s">
        <v>74</v>
      </c>
      <c r="C15" s="5" t="s">
        <v>75</v>
      </c>
      <c r="D15" s="10">
        <v>150895.95000000001</v>
      </c>
      <c r="E15" s="15" t="s">
        <v>37</v>
      </c>
      <c r="F15" s="5">
        <v>74.53</v>
      </c>
      <c r="G15" s="10">
        <v>54749</v>
      </c>
      <c r="H15" s="16" t="s">
        <v>37</v>
      </c>
      <c r="I15" s="16" t="s">
        <v>37</v>
      </c>
      <c r="J15" s="16" t="s">
        <v>37</v>
      </c>
      <c r="K15" s="10">
        <v>27000</v>
      </c>
      <c r="L15" s="10">
        <v>4526.71</v>
      </c>
      <c r="M15" s="16" t="s">
        <v>37</v>
      </c>
      <c r="N15" s="16" t="s">
        <v>37</v>
      </c>
      <c r="O15" s="12">
        <f t="shared" si="0"/>
        <v>237246.19</v>
      </c>
      <c r="P15" s="16" t="s">
        <v>37</v>
      </c>
      <c r="Q15" s="16" t="s">
        <v>37</v>
      </c>
      <c r="R15" s="10">
        <v>71142.399999999994</v>
      </c>
      <c r="S15" s="16" t="s">
        <v>37</v>
      </c>
      <c r="T15" s="16" t="s">
        <v>37</v>
      </c>
      <c r="U15" s="16" t="s">
        <v>37</v>
      </c>
      <c r="V15" s="5" t="s">
        <v>38</v>
      </c>
      <c r="W15" s="17" t="s">
        <v>37</v>
      </c>
      <c r="X15" s="17" t="s">
        <v>37</v>
      </c>
      <c r="Y15" s="17" t="s">
        <v>37</v>
      </c>
      <c r="Z15" s="17" t="s">
        <v>37</v>
      </c>
    </row>
    <row r="16" spans="1:26" x14ac:dyDescent="0.25">
      <c r="A16" s="5" t="s">
        <v>76</v>
      </c>
      <c r="B16" s="14" t="s">
        <v>77</v>
      </c>
      <c r="C16" s="5" t="s">
        <v>78</v>
      </c>
      <c r="D16" s="10">
        <v>172794.78</v>
      </c>
      <c r="E16" s="15" t="s">
        <v>37</v>
      </c>
      <c r="F16" s="5">
        <v>34.5</v>
      </c>
      <c r="G16" s="10">
        <v>52449</v>
      </c>
      <c r="H16" s="16" t="s">
        <v>37</v>
      </c>
      <c r="I16" s="16" t="s">
        <v>37</v>
      </c>
      <c r="J16" s="16" t="s">
        <v>37</v>
      </c>
      <c r="K16" s="10">
        <v>2000</v>
      </c>
      <c r="L16" s="15" t="s">
        <v>37</v>
      </c>
      <c r="M16" s="16" t="s">
        <v>37</v>
      </c>
      <c r="N16" s="16" t="s">
        <v>37</v>
      </c>
      <c r="O16" s="12">
        <f t="shared" si="0"/>
        <v>227278.28</v>
      </c>
      <c r="P16" s="16" t="s">
        <v>37</v>
      </c>
      <c r="Q16" s="16" t="s">
        <v>37</v>
      </c>
      <c r="R16" s="10">
        <v>69703.45</v>
      </c>
      <c r="S16" s="16" t="s">
        <v>37</v>
      </c>
      <c r="T16" s="16" t="s">
        <v>37</v>
      </c>
      <c r="U16" s="16" t="s">
        <v>37</v>
      </c>
      <c r="V16" s="5" t="s">
        <v>38</v>
      </c>
      <c r="W16" s="17" t="s">
        <v>37</v>
      </c>
      <c r="X16" s="17" t="s">
        <v>37</v>
      </c>
      <c r="Y16" s="17" t="s">
        <v>37</v>
      </c>
      <c r="Z16" s="17" t="s">
        <v>37</v>
      </c>
    </row>
    <row r="17" spans="1:26" x14ac:dyDescent="0.25">
      <c r="A17" s="5" t="s">
        <v>79</v>
      </c>
      <c r="B17" s="14" t="s">
        <v>80</v>
      </c>
      <c r="C17" s="5" t="s">
        <v>81</v>
      </c>
      <c r="D17" s="10">
        <v>185125.53</v>
      </c>
      <c r="E17" s="15" t="s">
        <v>37</v>
      </c>
      <c r="F17" s="5">
        <v>25.18</v>
      </c>
      <c r="G17" s="10">
        <v>56894</v>
      </c>
      <c r="H17" s="16" t="s">
        <v>37</v>
      </c>
      <c r="I17" s="16" t="s">
        <v>37</v>
      </c>
      <c r="J17" s="16" t="s">
        <v>37</v>
      </c>
      <c r="K17" s="10">
        <v>4500</v>
      </c>
      <c r="L17" s="15" t="s">
        <v>37</v>
      </c>
      <c r="M17" s="16" t="s">
        <v>37</v>
      </c>
      <c r="N17" s="16" t="s">
        <v>37</v>
      </c>
      <c r="O17" s="12">
        <f t="shared" si="0"/>
        <v>246544.71</v>
      </c>
      <c r="P17" s="16" t="s">
        <v>37</v>
      </c>
      <c r="Q17" s="16" t="s">
        <v>37</v>
      </c>
      <c r="R17" s="10">
        <v>75000.55</v>
      </c>
      <c r="S17" s="16" t="s">
        <v>37</v>
      </c>
      <c r="T17" s="16" t="s">
        <v>37</v>
      </c>
      <c r="U17" s="16" t="s">
        <v>37</v>
      </c>
      <c r="V17" s="5" t="s">
        <v>38</v>
      </c>
      <c r="W17" s="17" t="s">
        <v>37</v>
      </c>
      <c r="X17" s="17" t="s">
        <v>37</v>
      </c>
      <c r="Y17" s="17" t="s">
        <v>37</v>
      </c>
      <c r="Z17" s="17" t="s">
        <v>37</v>
      </c>
    </row>
    <row r="18" spans="1:26" x14ac:dyDescent="0.25">
      <c r="A18" s="5" t="s">
        <v>82</v>
      </c>
      <c r="B18" s="14" t="s">
        <v>83</v>
      </c>
      <c r="C18" s="5" t="s">
        <v>84</v>
      </c>
      <c r="D18" s="10">
        <v>240656</v>
      </c>
      <c r="E18" s="15" t="s">
        <v>37</v>
      </c>
      <c r="F18" s="5">
        <v>34.5</v>
      </c>
      <c r="G18" s="10">
        <v>72808</v>
      </c>
      <c r="H18" s="16" t="s">
        <v>37</v>
      </c>
      <c r="I18" s="16" t="s">
        <v>37</v>
      </c>
      <c r="J18" s="16" t="s">
        <v>37</v>
      </c>
      <c r="K18" s="10">
        <v>2000</v>
      </c>
      <c r="L18" s="15" t="s">
        <v>37</v>
      </c>
      <c r="M18" s="16" t="s">
        <v>37</v>
      </c>
      <c r="N18" s="16" t="s">
        <v>37</v>
      </c>
      <c r="O18" s="12">
        <f t="shared" si="0"/>
        <v>315498.5</v>
      </c>
      <c r="P18" s="16" t="s">
        <v>37</v>
      </c>
      <c r="Q18" s="16" t="s">
        <v>37</v>
      </c>
      <c r="R18" s="10">
        <v>96144.25</v>
      </c>
      <c r="S18" s="16" t="s">
        <v>37</v>
      </c>
      <c r="T18" s="16" t="s">
        <v>37</v>
      </c>
      <c r="U18" s="16" t="s">
        <v>37</v>
      </c>
      <c r="V18" s="5" t="s">
        <v>38</v>
      </c>
      <c r="W18" s="17" t="s">
        <v>37</v>
      </c>
      <c r="X18" s="17" t="s">
        <v>37</v>
      </c>
      <c r="Y18" s="17" t="s">
        <v>37</v>
      </c>
      <c r="Z18" s="17" t="s">
        <v>37</v>
      </c>
    </row>
    <row r="19" spans="1:26" x14ac:dyDescent="0.25">
      <c r="A19" s="5" t="s">
        <v>85</v>
      </c>
      <c r="B19" s="14" t="s">
        <v>86</v>
      </c>
      <c r="C19" s="14" t="s">
        <v>87</v>
      </c>
      <c r="D19" s="10">
        <v>122666.06</v>
      </c>
      <c r="E19" s="15" t="s">
        <v>37</v>
      </c>
      <c r="F19" s="5">
        <v>34.5</v>
      </c>
      <c r="G19" s="10">
        <v>37411</v>
      </c>
      <c r="H19" s="16" t="s">
        <v>37</v>
      </c>
      <c r="I19" s="16" t="s">
        <v>37</v>
      </c>
      <c r="J19" s="16" t="s">
        <v>37</v>
      </c>
      <c r="K19" s="10">
        <v>2000</v>
      </c>
      <c r="L19" s="15" t="s">
        <v>37</v>
      </c>
      <c r="M19" s="16" t="s">
        <v>37</v>
      </c>
      <c r="N19" s="16" t="s">
        <v>37</v>
      </c>
      <c r="O19" s="12">
        <f t="shared" si="0"/>
        <v>162111.56</v>
      </c>
      <c r="P19" s="16" t="s">
        <v>37</v>
      </c>
      <c r="Q19" s="16" t="s">
        <v>37</v>
      </c>
      <c r="R19" s="10">
        <v>48616</v>
      </c>
      <c r="S19" s="16" t="s">
        <v>37</v>
      </c>
      <c r="T19" s="16" t="s">
        <v>37</v>
      </c>
      <c r="U19" s="16" t="s">
        <v>37</v>
      </c>
      <c r="V19" s="5" t="s">
        <v>38</v>
      </c>
      <c r="W19" s="17" t="s">
        <v>37</v>
      </c>
      <c r="X19" s="17" t="s">
        <v>37</v>
      </c>
      <c r="Y19" s="17" t="s">
        <v>37</v>
      </c>
      <c r="Z19" s="17" t="s">
        <v>37</v>
      </c>
    </row>
    <row r="20" spans="1:26" x14ac:dyDescent="0.25">
      <c r="A20" s="5" t="s">
        <v>88</v>
      </c>
      <c r="B20" s="14" t="s">
        <v>89</v>
      </c>
      <c r="C20" s="5" t="s">
        <v>90</v>
      </c>
      <c r="D20" s="10">
        <v>36671.65</v>
      </c>
      <c r="E20" s="15" t="s">
        <v>37</v>
      </c>
      <c r="F20" s="5">
        <v>18.7</v>
      </c>
      <c r="G20" s="10">
        <v>11007</v>
      </c>
      <c r="H20" s="16" t="s">
        <v>37</v>
      </c>
      <c r="I20" s="16" t="s">
        <v>37</v>
      </c>
      <c r="J20" s="16" t="s">
        <v>37</v>
      </c>
      <c r="K20" s="16" t="s">
        <v>37</v>
      </c>
      <c r="L20" s="15" t="s">
        <v>37</v>
      </c>
      <c r="M20" s="16" t="s">
        <v>37</v>
      </c>
      <c r="N20" s="16" t="s">
        <v>37</v>
      </c>
      <c r="O20" s="12">
        <f t="shared" si="0"/>
        <v>47697.35</v>
      </c>
      <c r="P20" s="16" t="s">
        <v>37</v>
      </c>
      <c r="Q20" s="16" t="s">
        <v>37</v>
      </c>
      <c r="R20" s="10">
        <v>14300.1</v>
      </c>
      <c r="S20" s="16" t="s">
        <v>37</v>
      </c>
      <c r="T20" s="16" t="s">
        <v>37</v>
      </c>
      <c r="U20" s="16" t="s">
        <v>37</v>
      </c>
      <c r="V20" s="5" t="s">
        <v>38</v>
      </c>
      <c r="W20" s="17" t="s">
        <v>37</v>
      </c>
      <c r="X20" s="17" t="s">
        <v>37</v>
      </c>
      <c r="Y20" s="17" t="s">
        <v>37</v>
      </c>
      <c r="Z20" s="17" t="s">
        <v>37</v>
      </c>
    </row>
    <row r="21" spans="1:26" x14ac:dyDescent="0.25">
      <c r="A21" s="5" t="s">
        <v>91</v>
      </c>
      <c r="B21" s="14" t="s">
        <v>92</v>
      </c>
      <c r="C21" s="5" t="s">
        <v>93</v>
      </c>
      <c r="D21" s="10">
        <v>14385.64</v>
      </c>
      <c r="E21" s="15" t="s">
        <v>37</v>
      </c>
      <c r="F21" s="5">
        <v>10.33</v>
      </c>
      <c r="G21" s="10">
        <v>4319</v>
      </c>
      <c r="H21" s="16" t="s">
        <v>37</v>
      </c>
      <c r="I21" s="16" t="s">
        <v>37</v>
      </c>
      <c r="J21" s="16" t="s">
        <v>37</v>
      </c>
      <c r="K21" s="16" t="s">
        <v>37</v>
      </c>
      <c r="L21" s="15" t="s">
        <v>37</v>
      </c>
      <c r="M21" s="16" t="s">
        <v>37</v>
      </c>
      <c r="N21" s="16" t="s">
        <v>37</v>
      </c>
      <c r="O21" s="12">
        <f t="shared" si="0"/>
        <v>18714.97</v>
      </c>
      <c r="P21" s="16" t="s">
        <v>37</v>
      </c>
      <c r="Q21" s="16" t="s">
        <v>37</v>
      </c>
      <c r="R21" s="10">
        <v>5613.65</v>
      </c>
      <c r="S21" s="16" t="s">
        <v>37</v>
      </c>
      <c r="T21" s="16" t="s">
        <v>37</v>
      </c>
      <c r="U21" s="16" t="s">
        <v>37</v>
      </c>
      <c r="V21" s="5" t="s">
        <v>38</v>
      </c>
      <c r="W21" s="17" t="s">
        <v>37</v>
      </c>
      <c r="X21" s="17" t="s">
        <v>37</v>
      </c>
      <c r="Y21" s="17" t="s">
        <v>37</v>
      </c>
      <c r="Z21" s="17" t="s">
        <v>37</v>
      </c>
    </row>
    <row r="22" spans="1:26" x14ac:dyDescent="0.25">
      <c r="A22" s="5" t="s">
        <v>94</v>
      </c>
      <c r="B22" s="14" t="s">
        <v>95</v>
      </c>
      <c r="C22" s="5" t="s">
        <v>96</v>
      </c>
      <c r="D22" s="10">
        <v>75634.97</v>
      </c>
      <c r="E22" s="15" t="s">
        <v>37</v>
      </c>
      <c r="F22" s="16" t="s">
        <v>37</v>
      </c>
      <c r="G22" s="10">
        <v>22691</v>
      </c>
      <c r="H22" s="16" t="s">
        <v>37</v>
      </c>
      <c r="I22" s="16" t="s">
        <v>37</v>
      </c>
      <c r="J22" s="16" t="s">
        <v>37</v>
      </c>
      <c r="K22" s="16" t="s">
        <v>37</v>
      </c>
      <c r="L22" s="15" t="s">
        <v>37</v>
      </c>
      <c r="M22" s="16" t="s">
        <v>37</v>
      </c>
      <c r="N22" s="16" t="s">
        <v>37</v>
      </c>
      <c r="O22" s="12">
        <f t="shared" si="0"/>
        <v>98325.97</v>
      </c>
      <c r="P22" s="16" t="s">
        <v>37</v>
      </c>
      <c r="Q22" s="16" t="s">
        <v>37</v>
      </c>
      <c r="R22" s="10">
        <v>56747.4</v>
      </c>
      <c r="S22" s="16" t="s">
        <v>37</v>
      </c>
      <c r="T22" s="16" t="s">
        <v>37</v>
      </c>
      <c r="U22" s="16" t="s">
        <v>37</v>
      </c>
      <c r="V22" s="5" t="s">
        <v>38</v>
      </c>
      <c r="W22" s="17" t="s">
        <v>37</v>
      </c>
      <c r="X22" s="17" t="s">
        <v>37</v>
      </c>
      <c r="Y22" s="17" t="s">
        <v>37</v>
      </c>
      <c r="Z22" s="17" t="s">
        <v>37</v>
      </c>
    </row>
    <row r="23" spans="1:26" x14ac:dyDescent="0.25">
      <c r="A23" s="5" t="s">
        <v>97</v>
      </c>
      <c r="B23" s="14" t="s">
        <v>98</v>
      </c>
      <c r="C23" s="5" t="s">
        <v>99</v>
      </c>
      <c r="D23" s="10">
        <v>23819.84</v>
      </c>
      <c r="E23" s="15" t="s">
        <v>37</v>
      </c>
      <c r="F23" s="16" t="s">
        <v>37</v>
      </c>
      <c r="G23" s="10">
        <v>7146</v>
      </c>
      <c r="H23" s="16" t="s">
        <v>37</v>
      </c>
      <c r="I23" s="16" t="s">
        <v>37</v>
      </c>
      <c r="J23" s="16" t="s">
        <v>37</v>
      </c>
      <c r="K23" s="16" t="s">
        <v>37</v>
      </c>
      <c r="L23" s="15" t="s">
        <v>37</v>
      </c>
      <c r="M23" s="16" t="s">
        <v>37</v>
      </c>
      <c r="N23" s="16" t="s">
        <v>37</v>
      </c>
      <c r="O23" s="12">
        <f t="shared" si="0"/>
        <v>30965.84</v>
      </c>
      <c r="P23" s="16" t="s">
        <v>37</v>
      </c>
      <c r="Q23" s="16" t="s">
        <v>37</v>
      </c>
      <c r="R23" s="10">
        <v>9289.4</v>
      </c>
      <c r="S23" s="16" t="s">
        <v>37</v>
      </c>
      <c r="T23" s="16" t="s">
        <v>37</v>
      </c>
      <c r="U23" s="16" t="s">
        <v>37</v>
      </c>
      <c r="V23" s="5" t="s">
        <v>38</v>
      </c>
      <c r="W23" s="17" t="s">
        <v>37</v>
      </c>
      <c r="X23" s="17" t="s">
        <v>37</v>
      </c>
      <c r="Y23" s="17" t="s">
        <v>37</v>
      </c>
      <c r="Z23" s="17" t="s">
        <v>37</v>
      </c>
    </row>
    <row r="24" spans="1:26" x14ac:dyDescent="0.25">
      <c r="A24" s="5" t="s">
        <v>100</v>
      </c>
      <c r="B24" s="14" t="s">
        <v>101</v>
      </c>
      <c r="C24" s="5" t="s">
        <v>102</v>
      </c>
      <c r="D24" s="5">
        <v>0</v>
      </c>
      <c r="E24" s="15" t="s">
        <v>37</v>
      </c>
      <c r="F24" s="16" t="s">
        <v>37</v>
      </c>
      <c r="G24" s="16" t="s">
        <v>37</v>
      </c>
      <c r="H24" s="16" t="s">
        <v>37</v>
      </c>
      <c r="I24" s="16" t="s">
        <v>37</v>
      </c>
      <c r="J24" s="16" t="s">
        <v>37</v>
      </c>
      <c r="K24" s="16" t="s">
        <v>37</v>
      </c>
      <c r="L24" s="15" t="s">
        <v>37</v>
      </c>
      <c r="M24" s="16" t="s">
        <v>37</v>
      </c>
      <c r="N24" s="16" t="s">
        <v>37</v>
      </c>
      <c r="O24" s="12">
        <f t="shared" si="0"/>
        <v>0</v>
      </c>
      <c r="P24" s="16" t="s">
        <v>37</v>
      </c>
      <c r="Q24" s="16" t="s">
        <v>37</v>
      </c>
      <c r="R24" s="10">
        <v>22815.3</v>
      </c>
      <c r="S24" s="16" t="s">
        <v>37</v>
      </c>
      <c r="T24" s="16" t="s">
        <v>37</v>
      </c>
      <c r="U24" s="16" t="s">
        <v>37</v>
      </c>
      <c r="V24" s="5" t="s">
        <v>38</v>
      </c>
      <c r="W24" s="17" t="s">
        <v>37</v>
      </c>
      <c r="X24" s="17" t="s">
        <v>37</v>
      </c>
      <c r="Y24" s="17" t="s">
        <v>37</v>
      </c>
      <c r="Z24" s="17" t="s">
        <v>37</v>
      </c>
    </row>
    <row r="25" spans="1:26" x14ac:dyDescent="0.25">
      <c r="A25" s="5" t="s">
        <v>103</v>
      </c>
      <c r="B25" s="14" t="s">
        <v>104</v>
      </c>
      <c r="C25" s="5" t="s">
        <v>105</v>
      </c>
      <c r="D25" s="5">
        <v>0</v>
      </c>
      <c r="E25" s="15" t="s">
        <v>37</v>
      </c>
      <c r="F25" s="16" t="s">
        <v>37</v>
      </c>
      <c r="G25" s="16" t="s">
        <v>37</v>
      </c>
      <c r="H25" s="16" t="s">
        <v>37</v>
      </c>
      <c r="I25" s="16" t="s">
        <v>37</v>
      </c>
      <c r="J25" s="16" t="s">
        <v>37</v>
      </c>
      <c r="K25" s="16" t="s">
        <v>37</v>
      </c>
      <c r="L25" s="15" t="s">
        <v>37</v>
      </c>
      <c r="M25" s="16" t="s">
        <v>37</v>
      </c>
      <c r="N25" s="16" t="s">
        <v>37</v>
      </c>
      <c r="O25" s="12">
        <f t="shared" si="0"/>
        <v>0</v>
      </c>
      <c r="P25" s="16" t="s">
        <v>37</v>
      </c>
      <c r="Q25" s="16" t="s">
        <v>37</v>
      </c>
      <c r="R25" s="10">
        <v>17536.5</v>
      </c>
      <c r="S25" s="16" t="s">
        <v>37</v>
      </c>
      <c r="T25" s="16" t="s">
        <v>37</v>
      </c>
      <c r="U25" s="16" t="s">
        <v>37</v>
      </c>
      <c r="V25" s="5" t="s">
        <v>38</v>
      </c>
      <c r="W25" s="17" t="s">
        <v>37</v>
      </c>
      <c r="X25" s="17" t="s">
        <v>37</v>
      </c>
      <c r="Y25" s="17" t="s">
        <v>37</v>
      </c>
      <c r="Z25" s="17" t="s">
        <v>37</v>
      </c>
    </row>
    <row r="26" spans="1:26" x14ac:dyDescent="0.25">
      <c r="A26" s="5" t="s">
        <v>106</v>
      </c>
      <c r="B26" s="14" t="s">
        <v>107</v>
      </c>
      <c r="C26" s="5" t="s">
        <v>108</v>
      </c>
      <c r="D26" s="5">
        <v>0</v>
      </c>
      <c r="E26" s="15" t="s">
        <v>37</v>
      </c>
      <c r="F26" s="16" t="s">
        <v>37</v>
      </c>
      <c r="G26" s="16" t="s">
        <v>37</v>
      </c>
      <c r="H26" s="16" t="s">
        <v>37</v>
      </c>
      <c r="I26" s="16" t="s">
        <v>37</v>
      </c>
      <c r="J26" s="16" t="s">
        <v>37</v>
      </c>
      <c r="K26" s="16" t="s">
        <v>37</v>
      </c>
      <c r="L26" s="15" t="s">
        <v>37</v>
      </c>
      <c r="M26" s="16" t="s">
        <v>37</v>
      </c>
      <c r="N26" s="16" t="s">
        <v>37</v>
      </c>
      <c r="O26" s="12">
        <f t="shared" si="0"/>
        <v>0</v>
      </c>
      <c r="P26" s="16" t="s">
        <v>37</v>
      </c>
      <c r="Q26" s="16" t="s">
        <v>37</v>
      </c>
      <c r="R26" s="10">
        <v>11228.7</v>
      </c>
      <c r="S26" s="16" t="s">
        <v>37</v>
      </c>
      <c r="T26" s="16" t="s">
        <v>37</v>
      </c>
      <c r="U26" s="16" t="s">
        <v>37</v>
      </c>
      <c r="V26" s="5" t="s">
        <v>38</v>
      </c>
      <c r="W26" s="17" t="s">
        <v>37</v>
      </c>
      <c r="X26" s="17" t="s">
        <v>37</v>
      </c>
      <c r="Y26" s="17" t="s">
        <v>37</v>
      </c>
      <c r="Z26" s="17" t="s">
        <v>37</v>
      </c>
    </row>
    <row r="27" spans="1:26" x14ac:dyDescent="0.25">
      <c r="A27" s="5" t="s">
        <v>109</v>
      </c>
      <c r="B27" s="14" t="s">
        <v>110</v>
      </c>
      <c r="C27" s="5" t="s">
        <v>111</v>
      </c>
      <c r="D27" s="10">
        <v>105504.07</v>
      </c>
      <c r="E27" s="15" t="s">
        <v>37</v>
      </c>
      <c r="F27" s="5">
        <v>25.18</v>
      </c>
      <c r="G27" s="10">
        <v>35632</v>
      </c>
      <c r="H27" s="16" t="s">
        <v>37</v>
      </c>
      <c r="I27" s="16" t="s">
        <v>37</v>
      </c>
      <c r="J27" s="16" t="s">
        <v>37</v>
      </c>
      <c r="K27" s="10">
        <v>7921.02</v>
      </c>
      <c r="L27" s="10">
        <v>5327.59</v>
      </c>
      <c r="M27" s="16" t="s">
        <v>37</v>
      </c>
      <c r="N27" s="16" t="s">
        <v>37</v>
      </c>
      <c r="O27" s="12">
        <f t="shared" si="0"/>
        <v>154409.85999999999</v>
      </c>
      <c r="P27" s="16" t="s">
        <v>37</v>
      </c>
      <c r="Q27" s="16" t="s">
        <v>37</v>
      </c>
      <c r="R27" s="10">
        <v>46763.05</v>
      </c>
      <c r="S27" s="16" t="s">
        <v>37</v>
      </c>
      <c r="T27" s="16" t="s">
        <v>37</v>
      </c>
      <c r="U27" s="16" t="s">
        <v>37</v>
      </c>
      <c r="V27" s="5" t="s">
        <v>38</v>
      </c>
      <c r="W27" s="17" t="s">
        <v>37</v>
      </c>
      <c r="X27" s="17" t="s">
        <v>37</v>
      </c>
      <c r="Y27" s="17" t="s">
        <v>37</v>
      </c>
      <c r="Z27" s="17" t="s">
        <v>37</v>
      </c>
    </row>
    <row r="28" spans="1:26" x14ac:dyDescent="0.25">
      <c r="A28" s="5" t="s">
        <v>112</v>
      </c>
      <c r="B28" s="14" t="s">
        <v>113</v>
      </c>
      <c r="C28" s="5" t="s">
        <v>114</v>
      </c>
      <c r="D28" s="10">
        <v>100405.79</v>
      </c>
      <c r="E28" s="15" t="s">
        <v>37</v>
      </c>
      <c r="F28" s="5">
        <v>25.18</v>
      </c>
      <c r="G28" s="10">
        <v>31633</v>
      </c>
      <c r="H28" s="16" t="s">
        <v>37</v>
      </c>
      <c r="I28" s="16" t="s">
        <v>37</v>
      </c>
      <c r="J28" s="16" t="s">
        <v>37</v>
      </c>
      <c r="K28" s="10">
        <v>2000</v>
      </c>
      <c r="L28" s="10">
        <v>3011.83</v>
      </c>
      <c r="M28" s="16" t="s">
        <v>37</v>
      </c>
      <c r="N28" s="16" t="s">
        <v>37</v>
      </c>
      <c r="O28" s="12">
        <f t="shared" si="0"/>
        <v>137075.79999999996</v>
      </c>
      <c r="P28" s="16" t="s">
        <v>37</v>
      </c>
      <c r="Q28" s="16" t="s">
        <v>37</v>
      </c>
      <c r="R28" s="10">
        <v>44004.2</v>
      </c>
      <c r="S28" s="16" t="s">
        <v>37</v>
      </c>
      <c r="T28" s="16" t="s">
        <v>37</v>
      </c>
      <c r="U28" s="16" t="s">
        <v>37</v>
      </c>
      <c r="V28" s="5" t="s">
        <v>38</v>
      </c>
      <c r="W28" s="17" t="s">
        <v>37</v>
      </c>
      <c r="X28" s="17" t="s">
        <v>37</v>
      </c>
      <c r="Y28" s="17" t="s">
        <v>37</v>
      </c>
      <c r="Z28" s="17" t="s">
        <v>37</v>
      </c>
    </row>
    <row r="29" spans="1:26" x14ac:dyDescent="0.25">
      <c r="A29" s="5" t="s">
        <v>115</v>
      </c>
      <c r="B29" s="14" t="s">
        <v>116</v>
      </c>
      <c r="C29" s="5" t="s">
        <v>117</v>
      </c>
      <c r="D29" s="10">
        <v>103398.41</v>
      </c>
      <c r="E29" s="15" t="s">
        <v>37</v>
      </c>
      <c r="F29" s="5">
        <v>22.9</v>
      </c>
      <c r="G29" s="10">
        <v>31026</v>
      </c>
      <c r="H29" s="16" t="s">
        <v>37</v>
      </c>
      <c r="I29" s="16" t="s">
        <v>37</v>
      </c>
      <c r="J29" s="16" t="s">
        <v>37</v>
      </c>
      <c r="K29" s="16" t="s">
        <v>37</v>
      </c>
      <c r="L29" s="15" t="s">
        <v>37</v>
      </c>
      <c r="M29" s="16" t="s">
        <v>37</v>
      </c>
      <c r="N29" s="16" t="s">
        <v>37</v>
      </c>
      <c r="O29" s="12">
        <f t="shared" si="0"/>
        <v>134447.31</v>
      </c>
      <c r="P29" s="16" t="s">
        <v>37</v>
      </c>
      <c r="Q29" s="16" t="s">
        <v>37</v>
      </c>
      <c r="R29" s="10">
        <v>42724</v>
      </c>
      <c r="S29" s="16" t="s">
        <v>37</v>
      </c>
      <c r="T29" s="16" t="s">
        <v>37</v>
      </c>
      <c r="U29" s="16" t="s">
        <v>37</v>
      </c>
      <c r="V29" s="5" t="s">
        <v>38</v>
      </c>
      <c r="W29" s="17" t="s">
        <v>37</v>
      </c>
      <c r="X29" s="17" t="s">
        <v>37</v>
      </c>
      <c r="Y29" s="17" t="s">
        <v>37</v>
      </c>
      <c r="Z29" s="17" t="s">
        <v>37</v>
      </c>
    </row>
    <row r="30" spans="1:26" x14ac:dyDescent="0.25">
      <c r="A30" s="5" t="s">
        <v>118</v>
      </c>
      <c r="B30" s="14" t="s">
        <v>119</v>
      </c>
      <c r="C30" s="19" t="s">
        <v>120</v>
      </c>
      <c r="D30" s="10">
        <v>94446.67</v>
      </c>
      <c r="E30" s="15" t="s">
        <v>37</v>
      </c>
      <c r="F30" s="5">
        <v>25.18</v>
      </c>
      <c r="G30" s="10">
        <v>28941</v>
      </c>
      <c r="H30" s="16" t="s">
        <v>37</v>
      </c>
      <c r="I30" s="16" t="s">
        <v>37</v>
      </c>
      <c r="J30" s="16" t="s">
        <v>37</v>
      </c>
      <c r="K30" s="10">
        <v>2000</v>
      </c>
      <c r="L30" s="15" t="s">
        <v>37</v>
      </c>
      <c r="M30" s="16" t="s">
        <v>37</v>
      </c>
      <c r="N30" s="16" t="s">
        <v>37</v>
      </c>
      <c r="O30" s="12">
        <f t="shared" si="0"/>
        <v>125412.84999999999</v>
      </c>
      <c r="P30" s="16" t="s">
        <v>37</v>
      </c>
      <c r="Q30" s="16" t="s">
        <v>37</v>
      </c>
      <c r="R30" s="10">
        <v>39394.449999999997</v>
      </c>
      <c r="S30" s="16" t="s">
        <v>37</v>
      </c>
      <c r="T30" s="16" t="s">
        <v>37</v>
      </c>
      <c r="U30" s="16" t="s">
        <v>37</v>
      </c>
      <c r="V30" s="5" t="s">
        <v>38</v>
      </c>
      <c r="W30" s="17" t="s">
        <v>37</v>
      </c>
      <c r="X30" s="17" t="s">
        <v>37</v>
      </c>
      <c r="Y30" s="17" t="s">
        <v>37</v>
      </c>
      <c r="Z30" s="17" t="s">
        <v>37</v>
      </c>
    </row>
    <row r="31" spans="1:26" x14ac:dyDescent="0.25">
      <c r="A31" s="5" t="s">
        <v>121</v>
      </c>
      <c r="B31" s="14" t="s">
        <v>122</v>
      </c>
      <c r="C31" s="5" t="s">
        <v>123</v>
      </c>
      <c r="D31" s="10">
        <v>38263.589999999997</v>
      </c>
      <c r="E31" s="15" t="s">
        <v>37</v>
      </c>
      <c r="F31" s="5">
        <v>25.18</v>
      </c>
      <c r="G31" s="10">
        <v>11486</v>
      </c>
      <c r="H31" s="16" t="s">
        <v>37</v>
      </c>
      <c r="I31" s="16" t="s">
        <v>37</v>
      </c>
      <c r="J31" s="16" t="s">
        <v>37</v>
      </c>
      <c r="K31" s="16" t="s">
        <v>37</v>
      </c>
      <c r="L31" s="15" t="s">
        <v>37</v>
      </c>
      <c r="M31" s="16" t="s">
        <v>37</v>
      </c>
      <c r="N31" s="16" t="s">
        <v>37</v>
      </c>
      <c r="O31" s="12">
        <f t="shared" si="0"/>
        <v>49774.77</v>
      </c>
      <c r="P31" s="16" t="s">
        <v>37</v>
      </c>
      <c r="Q31" s="16" t="s">
        <v>37</v>
      </c>
      <c r="R31" s="10">
        <v>14930.25</v>
      </c>
      <c r="S31" s="16" t="s">
        <v>37</v>
      </c>
      <c r="T31" s="16" t="s">
        <v>37</v>
      </c>
      <c r="U31" s="16" t="s">
        <v>37</v>
      </c>
      <c r="V31" s="5" t="s">
        <v>38</v>
      </c>
      <c r="W31" s="17" t="s">
        <v>37</v>
      </c>
      <c r="X31" s="17" t="s">
        <v>37</v>
      </c>
      <c r="Y31" s="17" t="s">
        <v>37</v>
      </c>
      <c r="Z31" s="17" t="s">
        <v>37</v>
      </c>
    </row>
    <row r="32" spans="1:26" x14ac:dyDescent="0.25">
      <c r="A32" s="5" t="s">
        <v>124</v>
      </c>
      <c r="B32" s="14" t="s">
        <v>125</v>
      </c>
      <c r="C32" s="5" t="s">
        <v>126</v>
      </c>
      <c r="D32" s="10">
        <v>25728.34</v>
      </c>
      <c r="E32" s="15" t="s">
        <v>37</v>
      </c>
      <c r="F32" s="5">
        <v>15.18</v>
      </c>
      <c r="G32" s="10">
        <v>7722</v>
      </c>
      <c r="H32" s="16" t="s">
        <v>37</v>
      </c>
      <c r="I32" s="16" t="s">
        <v>37</v>
      </c>
      <c r="J32" s="16" t="s">
        <v>37</v>
      </c>
      <c r="K32" s="16" t="s">
        <v>37</v>
      </c>
      <c r="L32" s="15" t="s">
        <v>37</v>
      </c>
      <c r="M32" s="16" t="s">
        <v>37</v>
      </c>
      <c r="N32" s="16" t="s">
        <v>37</v>
      </c>
      <c r="O32" s="12">
        <f t="shared" si="0"/>
        <v>33465.520000000004</v>
      </c>
      <c r="P32" s="16" t="s">
        <v>37</v>
      </c>
      <c r="Q32" s="16" t="s">
        <v>37</v>
      </c>
      <c r="R32" s="10">
        <v>9136.85</v>
      </c>
      <c r="S32" s="16" t="s">
        <v>37</v>
      </c>
      <c r="T32" s="16" t="s">
        <v>37</v>
      </c>
      <c r="U32" s="16" t="s">
        <v>37</v>
      </c>
      <c r="V32" s="5" t="s">
        <v>38</v>
      </c>
      <c r="W32" s="17" t="s">
        <v>37</v>
      </c>
      <c r="X32" s="17" t="s">
        <v>37</v>
      </c>
      <c r="Y32" s="17" t="s">
        <v>37</v>
      </c>
      <c r="Z32" s="17" t="s">
        <v>37</v>
      </c>
    </row>
    <row r="33" spans="1:26" x14ac:dyDescent="0.25">
      <c r="A33" s="5" t="s">
        <v>127</v>
      </c>
      <c r="B33" s="14" t="s">
        <v>128</v>
      </c>
      <c r="C33" s="5" t="s">
        <v>129</v>
      </c>
      <c r="D33" s="10">
        <v>24906.57</v>
      </c>
      <c r="E33" s="15" t="s">
        <v>37</v>
      </c>
      <c r="F33" s="5">
        <v>5.47</v>
      </c>
      <c r="G33" s="10">
        <v>7474</v>
      </c>
      <c r="H33" s="16" t="s">
        <v>37</v>
      </c>
      <c r="I33" s="16" t="s">
        <v>37</v>
      </c>
      <c r="J33" s="16" t="s">
        <v>37</v>
      </c>
      <c r="K33" s="16" t="s">
        <v>37</v>
      </c>
      <c r="L33" s="15" t="s">
        <v>37</v>
      </c>
      <c r="M33" s="16" t="s">
        <v>37</v>
      </c>
      <c r="N33" s="16" t="s">
        <v>37</v>
      </c>
      <c r="O33" s="12">
        <f t="shared" si="0"/>
        <v>32386.04</v>
      </c>
      <c r="P33" s="16" t="s">
        <v>37</v>
      </c>
      <c r="Q33" s="16" t="s">
        <v>37</v>
      </c>
      <c r="R33" s="10">
        <v>11666.1</v>
      </c>
      <c r="S33" s="16" t="s">
        <v>37</v>
      </c>
      <c r="T33" s="16" t="s">
        <v>37</v>
      </c>
      <c r="U33" s="16" t="s">
        <v>37</v>
      </c>
      <c r="V33" s="5" t="s">
        <v>38</v>
      </c>
      <c r="W33" s="17" t="s">
        <v>37</v>
      </c>
      <c r="X33" s="17" t="s">
        <v>37</v>
      </c>
      <c r="Y33" s="17" t="s">
        <v>37</v>
      </c>
      <c r="Z33" s="17" t="s">
        <v>37</v>
      </c>
    </row>
    <row r="34" spans="1:26" x14ac:dyDescent="0.25">
      <c r="A34" s="5" t="s">
        <v>130</v>
      </c>
      <c r="B34" s="14" t="s">
        <v>131</v>
      </c>
      <c r="C34" s="5" t="s">
        <v>132</v>
      </c>
      <c r="D34" s="10">
        <v>131204.82999999999</v>
      </c>
      <c r="E34" s="15" t="s">
        <v>37</v>
      </c>
      <c r="G34" s="10">
        <v>39361</v>
      </c>
      <c r="H34" s="16" t="s">
        <v>37</v>
      </c>
      <c r="I34" s="16" t="s">
        <v>37</v>
      </c>
      <c r="J34" s="16" t="s">
        <v>37</v>
      </c>
      <c r="K34" s="16" t="s">
        <v>37</v>
      </c>
      <c r="L34" s="15" t="s">
        <v>37</v>
      </c>
      <c r="M34" s="16" t="s">
        <v>37</v>
      </c>
      <c r="N34" s="16" t="s">
        <v>37</v>
      </c>
      <c r="O34" s="12">
        <f t="shared" si="0"/>
        <v>170565.83</v>
      </c>
      <c r="P34" s="16" t="s">
        <v>37</v>
      </c>
      <c r="Q34" s="16" t="s">
        <v>37</v>
      </c>
      <c r="R34" s="10">
        <v>51170.1</v>
      </c>
      <c r="S34" s="16" t="s">
        <v>37</v>
      </c>
      <c r="T34" s="16" t="s">
        <v>37</v>
      </c>
      <c r="U34" s="16" t="s">
        <v>37</v>
      </c>
      <c r="V34" s="5" t="s">
        <v>38</v>
      </c>
      <c r="W34" s="17" t="s">
        <v>37</v>
      </c>
      <c r="X34" s="17" t="s">
        <v>37</v>
      </c>
      <c r="Y34" s="17" t="s">
        <v>37</v>
      </c>
      <c r="Z34" s="17" t="s">
        <v>37</v>
      </c>
    </row>
    <row r="35" spans="1:26" x14ac:dyDescent="0.25">
      <c r="A35" s="5" t="s">
        <v>133</v>
      </c>
      <c r="B35" s="14" t="s">
        <v>134</v>
      </c>
      <c r="C35" s="5" t="s">
        <v>135</v>
      </c>
      <c r="D35" s="10">
        <v>123840.83</v>
      </c>
      <c r="E35" s="15" t="s">
        <v>37</v>
      </c>
      <c r="F35" s="5">
        <v>30.65</v>
      </c>
      <c r="G35" s="10">
        <v>37162</v>
      </c>
      <c r="H35" s="16" t="s">
        <v>37</v>
      </c>
      <c r="I35" s="16" t="s">
        <v>37</v>
      </c>
      <c r="J35" s="16" t="s">
        <v>37</v>
      </c>
      <c r="K35" s="16" t="s">
        <v>37</v>
      </c>
      <c r="L35" s="15" t="s">
        <v>37</v>
      </c>
      <c r="M35" s="16" t="s">
        <v>37</v>
      </c>
      <c r="N35" s="16" t="s">
        <v>37</v>
      </c>
      <c r="O35" s="12">
        <f t="shared" si="0"/>
        <v>161033.47999999998</v>
      </c>
      <c r="P35" s="16" t="s">
        <v>37</v>
      </c>
      <c r="Q35" s="16" t="s">
        <v>37</v>
      </c>
      <c r="R35" s="10">
        <v>48296.1</v>
      </c>
      <c r="S35" s="16" t="s">
        <v>37</v>
      </c>
      <c r="T35" s="16" t="s">
        <v>37</v>
      </c>
      <c r="U35" s="16" t="s">
        <v>37</v>
      </c>
      <c r="V35" s="5" t="s">
        <v>38</v>
      </c>
      <c r="W35" s="17" t="s">
        <v>37</v>
      </c>
      <c r="X35" s="17" t="s">
        <v>37</v>
      </c>
      <c r="Y35" s="17" t="s">
        <v>37</v>
      </c>
      <c r="Z35" s="17" t="s">
        <v>37</v>
      </c>
    </row>
    <row r="36" spans="1:26" x14ac:dyDescent="0.25">
      <c r="A36" s="5" t="s">
        <v>136</v>
      </c>
      <c r="B36" s="14" t="s">
        <v>137</v>
      </c>
      <c r="C36" s="5" t="s">
        <v>138</v>
      </c>
      <c r="D36" s="10">
        <v>29008.83</v>
      </c>
      <c r="E36" s="15" t="s">
        <v>37</v>
      </c>
      <c r="F36" s="12">
        <v>10</v>
      </c>
      <c r="G36" s="10">
        <v>8706</v>
      </c>
      <c r="H36" s="16" t="s">
        <v>37</v>
      </c>
      <c r="I36" s="16" t="s">
        <v>37</v>
      </c>
      <c r="J36" s="16" t="s">
        <v>37</v>
      </c>
      <c r="K36" s="16" t="s">
        <v>37</v>
      </c>
      <c r="L36" s="15" t="s">
        <v>37</v>
      </c>
      <c r="M36" s="16" t="s">
        <v>37</v>
      </c>
      <c r="N36" s="16" t="s">
        <v>37</v>
      </c>
      <c r="O36" s="12">
        <f t="shared" si="0"/>
        <v>37724.83</v>
      </c>
      <c r="P36" s="16" t="s">
        <v>37</v>
      </c>
      <c r="Q36" s="16" t="s">
        <v>37</v>
      </c>
      <c r="R36" s="10">
        <v>11666.1</v>
      </c>
      <c r="S36" s="16" t="s">
        <v>37</v>
      </c>
      <c r="T36" s="16" t="s">
        <v>37</v>
      </c>
      <c r="U36" s="16" t="s">
        <v>37</v>
      </c>
      <c r="V36" s="5" t="s">
        <v>38</v>
      </c>
      <c r="W36" s="17" t="s">
        <v>37</v>
      </c>
      <c r="X36" s="17" t="s">
        <v>37</v>
      </c>
      <c r="Y36" s="17" t="s">
        <v>37</v>
      </c>
      <c r="Z36" s="17" t="s">
        <v>37</v>
      </c>
    </row>
    <row r="37" spans="1:26" x14ac:dyDescent="0.25">
      <c r="A37" s="5" t="s">
        <v>139</v>
      </c>
      <c r="B37" s="14" t="s">
        <v>140</v>
      </c>
      <c r="C37" s="5" t="s">
        <v>141</v>
      </c>
      <c r="D37" s="10">
        <v>116524.83</v>
      </c>
      <c r="E37" s="15" t="s">
        <v>37</v>
      </c>
      <c r="F37" s="5">
        <v>30.65</v>
      </c>
      <c r="G37" s="10">
        <v>34966</v>
      </c>
      <c r="H37" s="16" t="s">
        <v>37</v>
      </c>
      <c r="I37" s="16" t="s">
        <v>37</v>
      </c>
      <c r="J37" s="16" t="s">
        <v>37</v>
      </c>
      <c r="K37" s="16" t="s">
        <v>37</v>
      </c>
      <c r="L37" s="15" t="s">
        <v>37</v>
      </c>
      <c r="M37" s="16" t="s">
        <v>37</v>
      </c>
      <c r="N37" s="16" t="s">
        <v>37</v>
      </c>
      <c r="O37" s="12">
        <f t="shared" si="0"/>
        <v>151521.47999999998</v>
      </c>
      <c r="P37" s="16" t="s">
        <v>37</v>
      </c>
      <c r="Q37" s="16" t="s">
        <v>37</v>
      </c>
      <c r="R37" s="10">
        <v>45442.1</v>
      </c>
      <c r="S37" s="16" t="s">
        <v>37</v>
      </c>
      <c r="T37" s="16" t="s">
        <v>37</v>
      </c>
      <c r="U37" s="16" t="s">
        <v>37</v>
      </c>
      <c r="V37" s="5" t="s">
        <v>38</v>
      </c>
      <c r="W37" s="17" t="s">
        <v>37</v>
      </c>
      <c r="X37" s="17" t="s">
        <v>37</v>
      </c>
      <c r="Y37" s="17" t="s">
        <v>37</v>
      </c>
      <c r="Z37" s="17" t="s">
        <v>37</v>
      </c>
    </row>
    <row r="38" spans="1:26" x14ac:dyDescent="0.25">
      <c r="A38" s="5" t="s">
        <v>142</v>
      </c>
      <c r="B38" s="14" t="s">
        <v>143</v>
      </c>
      <c r="C38" s="5" t="s">
        <v>144</v>
      </c>
      <c r="D38" s="10">
        <v>23448.6</v>
      </c>
      <c r="E38" s="15" t="s">
        <v>37</v>
      </c>
      <c r="F38" s="5">
        <v>5.47</v>
      </c>
      <c r="G38" s="10">
        <v>7037</v>
      </c>
      <c r="H38" s="16" t="s">
        <v>37</v>
      </c>
      <c r="I38" s="16" t="s">
        <v>37</v>
      </c>
      <c r="J38" s="16" t="s">
        <v>37</v>
      </c>
      <c r="K38" s="16" t="s">
        <v>37</v>
      </c>
      <c r="L38" s="15" t="s">
        <v>37</v>
      </c>
      <c r="M38" s="16" t="s">
        <v>37</v>
      </c>
      <c r="N38" s="16" t="s">
        <v>37</v>
      </c>
      <c r="O38" s="12">
        <f t="shared" si="0"/>
        <v>30491.07</v>
      </c>
      <c r="P38" s="16" t="s">
        <v>37</v>
      </c>
      <c r="Q38" s="16" t="s">
        <v>37</v>
      </c>
      <c r="R38" s="10">
        <v>11666.1</v>
      </c>
      <c r="S38" s="16" t="s">
        <v>37</v>
      </c>
      <c r="T38" s="16" t="s">
        <v>37</v>
      </c>
      <c r="U38" s="16" t="s">
        <v>37</v>
      </c>
      <c r="V38" s="5" t="s">
        <v>38</v>
      </c>
      <c r="W38" s="17" t="s">
        <v>37</v>
      </c>
      <c r="X38" s="17" t="s">
        <v>37</v>
      </c>
      <c r="Y38" s="17" t="s">
        <v>37</v>
      </c>
      <c r="Z38" s="17" t="s">
        <v>37</v>
      </c>
    </row>
    <row r="39" spans="1:26" x14ac:dyDescent="0.25">
      <c r="A39" s="5" t="s">
        <v>145</v>
      </c>
      <c r="B39" s="14" t="s">
        <v>146</v>
      </c>
      <c r="C39" s="5" t="s">
        <v>147</v>
      </c>
      <c r="D39" s="10">
        <v>137966.82999999999</v>
      </c>
      <c r="E39" s="15" t="s">
        <v>37</v>
      </c>
      <c r="F39" s="5">
        <v>30.65</v>
      </c>
      <c r="G39" s="10">
        <v>41399</v>
      </c>
      <c r="H39" s="16" t="s">
        <v>37</v>
      </c>
      <c r="I39" s="16" t="s">
        <v>37</v>
      </c>
      <c r="J39" s="16" t="s">
        <v>37</v>
      </c>
      <c r="K39" s="16" t="s">
        <v>37</v>
      </c>
      <c r="L39" s="15" t="s">
        <v>37</v>
      </c>
      <c r="M39" s="16" t="s">
        <v>37</v>
      </c>
      <c r="N39" s="16" t="s">
        <v>37</v>
      </c>
      <c r="O39" s="12">
        <f t="shared" si="0"/>
        <v>179396.47999999998</v>
      </c>
      <c r="P39" s="16" t="s">
        <v>37</v>
      </c>
      <c r="Q39" s="16" t="s">
        <v>37</v>
      </c>
      <c r="R39" s="10">
        <v>53805.1</v>
      </c>
      <c r="S39" s="16" t="s">
        <v>37</v>
      </c>
      <c r="T39" s="16" t="s">
        <v>37</v>
      </c>
      <c r="U39" s="16" t="s">
        <v>37</v>
      </c>
      <c r="V39" s="5" t="s">
        <v>38</v>
      </c>
      <c r="W39" s="17" t="s">
        <v>37</v>
      </c>
      <c r="X39" s="17" t="s">
        <v>37</v>
      </c>
      <c r="Y39" s="17" t="s">
        <v>37</v>
      </c>
      <c r="Z39" s="17" t="s">
        <v>37</v>
      </c>
    </row>
    <row r="40" spans="1:26" x14ac:dyDescent="0.25">
      <c r="O40" s="12"/>
    </row>
  </sheetData>
  <mergeCells count="6">
    <mergeCell ref="V1:Z1"/>
    <mergeCell ref="T1:U1"/>
    <mergeCell ref="D1:N1"/>
    <mergeCell ref="P1:Q1"/>
    <mergeCell ref="B1:C1"/>
    <mergeCell ref="R1:S1"/>
  </mergeCells>
  <phoneticPr fontId="8" type="noConversion"/>
  <pageMargins left="0.7" right="0.7" top="0.75" bottom="0.75" header="0.3" footer="0.3"/>
  <ignoredErrors>
    <ignoredError sqref="O4:O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Z1"/>
  <sheetViews>
    <sheetView topLeftCell="K1" workbookViewId="0">
      <selection activeCell="M20" sqref="M20"/>
    </sheetView>
  </sheetViews>
  <sheetFormatPr defaultColWidth="8.88671875" defaultRowHeight="13.8" x14ac:dyDescent="0.25"/>
  <cols>
    <col min="1" max="1" width="11.109375" style="5" customWidth="1"/>
    <col min="2" max="2" width="11.5546875" style="5" customWidth="1"/>
    <col min="3" max="3" width="8.88671875" style="5" customWidth="1"/>
    <col min="4" max="4" width="11.88671875" style="5" customWidth="1"/>
    <col min="5" max="5" width="10" style="5" customWidth="1"/>
    <col min="6" max="6" width="11.109375" style="5" customWidth="1"/>
    <col min="7" max="7" width="8.88671875" style="5" customWidth="1"/>
    <col min="8" max="8" width="14.109375" style="5" customWidth="1"/>
    <col min="9" max="9" width="12.6640625" style="5" customWidth="1"/>
    <col min="10" max="10" width="8.88671875" style="5" customWidth="1"/>
    <col min="11" max="11" width="10.88671875" style="5" customWidth="1"/>
    <col min="12" max="12" width="10.33203125" style="5" customWidth="1"/>
    <col min="13" max="13" width="11.33203125" style="5" customWidth="1"/>
    <col min="14" max="14" width="12.109375" style="5" customWidth="1"/>
    <col min="15" max="15" width="15.33203125" style="5" customWidth="1"/>
    <col min="16" max="16" width="12.6640625" style="5" customWidth="1"/>
    <col min="17" max="17" width="14.88671875" style="5" customWidth="1"/>
    <col min="18" max="18" width="12.6640625" style="5" customWidth="1"/>
    <col min="19" max="20" width="13.33203125" style="5" customWidth="1"/>
    <col min="21" max="21" width="14.44140625" style="5" customWidth="1"/>
    <col min="22" max="22" width="20.6640625" style="5" customWidth="1"/>
    <col min="23" max="23" width="12.6640625" style="5" customWidth="1"/>
    <col min="24" max="24" width="14.6640625" style="5" customWidth="1"/>
    <col min="25" max="25" width="8.88671875" style="5" customWidth="1"/>
    <col min="26" max="26" width="13.88671875" style="5" customWidth="1"/>
    <col min="27" max="34" width="8.88671875" style="5" customWidth="1"/>
    <col min="35" max="16384" width="8.88671875" style="5"/>
  </cols>
  <sheetData>
    <row r="1" spans="1:26" ht="124.2" customHeight="1" x14ac:dyDescent="0.25">
      <c r="A1" s="4" t="s">
        <v>148</v>
      </c>
      <c r="B1" s="3" t="s">
        <v>149</v>
      </c>
      <c r="C1" s="3" t="s">
        <v>150</v>
      </c>
      <c r="D1" s="3" t="s">
        <v>151</v>
      </c>
      <c r="E1" s="3" t="s">
        <v>152</v>
      </c>
      <c r="F1" s="3" t="s">
        <v>153</v>
      </c>
      <c r="G1" s="3" t="s">
        <v>154</v>
      </c>
      <c r="H1" s="3" t="s">
        <v>155</v>
      </c>
      <c r="I1" s="3" t="s">
        <v>156</v>
      </c>
      <c r="J1" s="3" t="s">
        <v>157</v>
      </c>
      <c r="K1" s="3" t="s">
        <v>158</v>
      </c>
      <c r="L1" s="3" t="s">
        <v>159</v>
      </c>
      <c r="M1" s="3" t="s">
        <v>160</v>
      </c>
      <c r="N1" s="3" t="s">
        <v>161</v>
      </c>
      <c r="O1" s="3" t="s">
        <v>162</v>
      </c>
      <c r="P1" s="3" t="s">
        <v>163</v>
      </c>
      <c r="Q1" s="3" t="s">
        <v>164</v>
      </c>
      <c r="R1" s="3" t="s">
        <v>165</v>
      </c>
      <c r="S1" s="3" t="s">
        <v>166</v>
      </c>
      <c r="T1" s="3" t="s">
        <v>167</v>
      </c>
      <c r="U1" s="3" t="s">
        <v>168</v>
      </c>
      <c r="V1" s="3" t="s">
        <v>169</v>
      </c>
      <c r="W1" s="3" t="s">
        <v>170</v>
      </c>
      <c r="X1" s="3" t="s">
        <v>155</v>
      </c>
      <c r="Y1" s="3" t="s">
        <v>152</v>
      </c>
      <c r="Z1" s="3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1494c19cd2a7045efe8cbdbe780b439f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3a1349afede5d38ce26ea5d7b173d935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37f2b2-c84b-4ba0-b67a-df9a03be6d34" xsi:nil="true"/>
    <lcf76f155ced4ddcb4097134ff3c332f xmlns="a348be1c-5511-4288-88ac-aeef929a1e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F97F4E-28A0-4C25-A631-CDFCD804E7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B64D19-8EB8-4EF7-8856-D720145FBB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B79FA9-22DE-4AD3-A3B3-A2D428B16290}">
  <ds:schemaRefs>
    <ds:schemaRef ds:uri="http://schemas.microsoft.com/office/2006/metadata/properties"/>
    <ds:schemaRef ds:uri="http://schemas.microsoft.com/office/infopath/2007/PartnerControls"/>
    <ds:schemaRef ds:uri="e637f2b2-c84b-4ba0-b67a-df9a03be6d34"/>
    <ds:schemaRef ds:uri="a348be1c-5511-4288-88ac-aeef929a1e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Masterfile</vt:lpstr>
      <vt:lpstr>KIV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 Lum (MY)</dc:creator>
  <cp:keywords/>
  <dc:description/>
  <cp:lastModifiedBy>YiRu Lum (MY)</cp:lastModifiedBy>
  <cp:revision/>
  <dcterms:created xsi:type="dcterms:W3CDTF">2024-11-26T01:29:37Z</dcterms:created>
  <dcterms:modified xsi:type="dcterms:W3CDTF">2025-04-08T07:52:38Z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0x0101002AC577462BAD4C4A97B15BF8CA4DF19E</vt:lpwstr>
  </property>
  <property fmtid="{D5CDD505-2E9C-101B-9397-08002B2CF9AE}" pid="3" name="MediaServiceImageTags">
    <vt:lpwstr/>
  </property>
</Properties>
</file>