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ylum009\Desktop\"/>
    </mc:Choice>
  </mc:AlternateContent>
  <xr:revisionPtr revIDLastSave="0" documentId="13_ncr:1_{72406BC1-27F2-48F7-BBBA-20EEA469AC4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sterfile" sheetId="1" r:id="rId1"/>
    <sheet name="KIV" sheetId="2" state="hidden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" i="1" l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6" i="1"/>
  <c r="O4" i="1" l="1"/>
  <c r="O5" i="1"/>
  <c r="O7" i="1"/>
</calcChain>
</file>

<file path=xl/sharedStrings.xml><?xml version="1.0" encoding="utf-8"?>
<sst xmlns="http://schemas.openxmlformats.org/spreadsheetml/2006/main" count="451" uniqueCount="116">
  <si>
    <t>Top section</t>
  </si>
  <si>
    <t>Section A</t>
  </si>
  <si>
    <t>Section B</t>
  </si>
  <si>
    <t>FORMULA</t>
  </si>
  <si>
    <t>Section C</t>
  </si>
  <si>
    <t>Section D</t>
  </si>
  <si>
    <t>Section E</t>
  </si>
  <si>
    <t>Tax Identification No. (TIN)</t>
  </si>
  <si>
    <t>Name</t>
  </si>
  <si>
    <t>No. Kad Pengenalan / No. Passport</t>
  </si>
  <si>
    <t>1. (a) Gross salary, wages or holiday pay (including overtime pay)</t>
  </si>
  <si>
    <t>1. (b) Fees (including directors' fees), commissions or bonuses</t>
  </si>
  <si>
    <t>1. (c) Gross tips, perquisites, acceptance of consolation or other allowances (Regarding payment: .....................)</t>
  </si>
  <si>
    <t>1. (d) Income tax paid by the employer on behalf of the employee</t>
  </si>
  <si>
    <t>1. (e) Manfaat Skim Opsyen Saham Pekerja (ESOS)</t>
  </si>
  <si>
    <t>1. (f) Remuneration for the period from ................. to .................</t>
  </si>
  <si>
    <t>2. Details of arrears and other payments for previous years in the current year</t>
  </si>
  <si>
    <t>3. Benefit in kinds (State....................)</t>
  </si>
  <si>
    <t>4. Value of living accommodation benefit (Address......................)</t>
  </si>
  <si>
    <t>5. Refund from unapproved Pension or Provident Fund, Scheme or Society (amount attributable to employer’s contribution only)</t>
  </si>
  <si>
    <t xml:space="preserve">6. Compensation for loss of employment </t>
  </si>
  <si>
    <t xml:space="preserve">TOTAL GROSS EMPLOYMENT INCOME </t>
  </si>
  <si>
    <t>Pension</t>
  </si>
  <si>
    <t>Annuities or other periodical payments</t>
  </si>
  <si>
    <t>Monthly tax deductions (MTD) remitted to LHDNM</t>
  </si>
  <si>
    <t>Zakat paid via salary deduction</t>
  </si>
  <si>
    <t>Relief - EPF (employee's contribution)</t>
  </si>
  <si>
    <t>Relief - SOCSO / EIS (employee's contribution)</t>
  </si>
  <si>
    <t>Tax residency status (R / NR)</t>
  </si>
  <si>
    <t>Other income sourced in Malaysia (Y/N)</t>
  </si>
  <si>
    <t>Foreign sources income (Not tax in other country)</t>
  </si>
  <si>
    <t>Approved Donations</t>
  </si>
  <si>
    <t xml:space="preserve">Total tax relief </t>
  </si>
  <si>
    <t>-</t>
  </si>
  <si>
    <t>NR</t>
  </si>
  <si>
    <t>R</t>
  </si>
  <si>
    <t>Info required in e-BE/M</t>
  </si>
  <si>
    <t>Current passport no.</t>
  </si>
  <si>
    <t>Citizen</t>
  </si>
  <si>
    <t>Type of assessment</t>
  </si>
  <si>
    <t>Date of birth</t>
  </si>
  <si>
    <t>Expiry date of current passport</t>
  </si>
  <si>
    <t>Record-keeping</t>
  </si>
  <si>
    <t>Identification no.</t>
  </si>
  <si>
    <t>Passport no. registered with LHDNM</t>
  </si>
  <si>
    <t>Gender</t>
  </si>
  <si>
    <t>Marital Status as at 31-12-2024</t>
  </si>
  <si>
    <t>Date of marriage</t>
  </si>
  <si>
    <t>Telephone no.</t>
  </si>
  <si>
    <t>Handphone no.</t>
  </si>
  <si>
    <t>e-Mail</t>
  </si>
  <si>
    <t>Employer's no.</t>
  </si>
  <si>
    <t>Tax borne by employer</t>
  </si>
  <si>
    <t>Disposal of asset under the Real Property Gains Tax Act 1976</t>
  </si>
  <si>
    <t>Disposal declared to LHDNM</t>
  </si>
  <si>
    <t>Has financial account(s) at financial institution(s) outside Malaysia</t>
  </si>
  <si>
    <t>Method of payment for tax refund : Payment via bank account</t>
  </si>
  <si>
    <t>Correspondence address</t>
  </si>
  <si>
    <t>Name of husband / wife</t>
  </si>
  <si>
    <t>IG59976357040</t>
  </si>
  <si>
    <t>IG21015144070</t>
  </si>
  <si>
    <t>IG59938641100</t>
  </si>
  <si>
    <t>IG11837409050</t>
  </si>
  <si>
    <t>IG59937554100</t>
  </si>
  <si>
    <t>IG59927200070</t>
  </si>
  <si>
    <t>IG59943918010</t>
  </si>
  <si>
    <t>IG27153333010</t>
  </si>
  <si>
    <t>IG59940694010</t>
  </si>
  <si>
    <t>IG59938411050</t>
  </si>
  <si>
    <t>IG59928250090</t>
  </si>
  <si>
    <t>IG20763525000</t>
  </si>
  <si>
    <t>IG59933457060</t>
  </si>
  <si>
    <t>IG59926259010</t>
  </si>
  <si>
    <t>IG59938114000</t>
  </si>
  <si>
    <t>IG27322102070</t>
  </si>
  <si>
    <t>IG59976365050</t>
  </si>
  <si>
    <t>IG59947577030</t>
  </si>
  <si>
    <t>IG59943727080</t>
  </si>
  <si>
    <t>IG11822323020</t>
  </si>
  <si>
    <t>TZ1319312</t>
  </si>
  <si>
    <t>0000000</t>
  </si>
  <si>
    <t>TT1845124</t>
  </si>
  <si>
    <t>K4282529A</t>
  </si>
  <si>
    <t>K1960516H</t>
  </si>
  <si>
    <t>M42045926</t>
  </si>
  <si>
    <t>TS4413468</t>
  </si>
  <si>
    <t>EJ6352290</t>
  </si>
  <si>
    <t>TS1225411</t>
  </si>
  <si>
    <t>M21437139</t>
  </si>
  <si>
    <t>K4695982N</t>
  </si>
  <si>
    <t>M77062440</t>
  </si>
  <si>
    <t>TS0121711</t>
  </si>
  <si>
    <t>EJ5504186</t>
  </si>
  <si>
    <t>M06013128</t>
  </si>
  <si>
    <t>Katsuhiro Araki</t>
  </si>
  <si>
    <t>Tan Choon Guan</t>
  </si>
  <si>
    <t>Ryuta Asako</t>
  </si>
  <si>
    <t>Lee Kem Han</t>
  </si>
  <si>
    <t>Seng Chee</t>
  </si>
  <si>
    <t>Thet Khine</t>
  </si>
  <si>
    <t>Seokjong Lee</t>
  </si>
  <si>
    <t>Woon Qiu Yik</t>
  </si>
  <si>
    <t>Takaya Kusakabe</t>
  </si>
  <si>
    <t>Li Dongzheng</t>
  </si>
  <si>
    <t>Yuka Shirakura</t>
  </si>
  <si>
    <t>Vijay A / L Munusamy</t>
  </si>
  <si>
    <t>Dooeon Kim</t>
  </si>
  <si>
    <t>Zhou Weiguang</t>
  </si>
  <si>
    <t>Yonghwan Kim</t>
  </si>
  <si>
    <t>Gwee Kim Heng</t>
  </si>
  <si>
    <t>Takaya Minami</t>
  </si>
  <si>
    <t>Chen Nan</t>
  </si>
  <si>
    <t>Sanghyeok Lee</t>
  </si>
  <si>
    <t>Lee Ping Yee</t>
  </si>
  <si>
    <t>* To use PROPER formula</t>
  </si>
  <si>
    <t>*Require Manual 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</si>
</sst>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3" x14ac:knownFonts="1">
    <font>
      <sz val="10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Georgia"/>
      <family val="1"/>
    </font>
    <font>
      <b/>
      <sz val="11"/>
      <color theme="1"/>
      <name val="Georgia"/>
      <family val="1"/>
    </font>
    <font>
      <sz val="11"/>
      <color rgb="FF000000"/>
      <name val="Georgia"/>
      <family val="1"/>
    </font>
    <font>
      <b/>
      <sz val="11"/>
      <color rgb="FF000000"/>
      <name val="Georgia"/>
      <family val="1"/>
    </font>
    <font>
      <b/>
      <sz val="11"/>
      <color theme="0"/>
      <name val="Georgia"/>
      <family val="1"/>
    </font>
    <font>
      <sz val="10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Georgia"/>
      <family val="1"/>
    </font>
    <font>
      <sz val="10"/>
      <color rgb="FF000000"/>
      <name val="Georgia"/>
      <family val="1"/>
    </font>
    <font>
      <b/>
      <i/>
      <sz val="11"/>
      <color rgb="FFC00000"/>
      <name val="Georgia"/>
      <family val="1"/>
    </font>
    <font>
      <b/>
      <sz val="11"/>
      <color rgb="FFC00000"/>
      <name val="Georgia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6" tint="0.59999389629810485"/>
        <bgColor rgb="FF00FF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rgb="FF00FF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" fillId="0" borderId="0"/>
    <xf numFmtId="0" fontId="1" fillId="0" borderId="0"/>
  </cellStyleXfs>
  <cellXfs count="25">
    <xf numFmtId="0" fontId="0" fillId="0" borderId="0" xfId="0"/>
    <xf numFmtId="0" fontId="2" fillId="3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horizontal="left" vertical="top" wrapText="1"/>
    </xf>
    <xf numFmtId="0" fontId="2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0" fontId="4" fillId="0" borderId="0" xfId="0" applyFont="1"/>
    <xf numFmtId="0" fontId="2" fillId="2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horizontal="center" vertical="center"/>
    </xf>
    <xf numFmtId="0" fontId="5" fillId="0" borderId="0" xfId="0" applyFont="1"/>
    <xf numFmtId="0" fontId="6" fillId="8" borderId="1" xfId="0" applyFont="1" applyFill="1" applyBorder="1" applyAlignment="1">
      <alignment vertical="top" wrapText="1"/>
    </xf>
    <xf numFmtId="43" fontId="4" fillId="0" borderId="0" xfId="1" applyFont="1"/>
    <xf numFmtId="0" fontId="4" fillId="0" borderId="0" xfId="0" applyFont="1" applyAlignment="1">
      <alignment vertical="top"/>
    </xf>
    <xf numFmtId="0" fontId="9" fillId="0" borderId="0" xfId="0" applyFont="1"/>
    <xf numFmtId="2" fontId="4" fillId="0" borderId="0" xfId="1" applyNumberFormat="1" applyFont="1"/>
    <xf numFmtId="2" fontId="10" fillId="0" borderId="0" xfId="0" applyNumberFormat="1" applyFont="1" applyAlignment="1">
      <alignment wrapText="1"/>
    </xf>
    <xf numFmtId="0" fontId="10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11" fillId="7" borderId="0" xfId="0" applyFont="1" applyFill="1"/>
    <xf numFmtId="0" fontId="12" fillId="7" borderId="2" xfId="0" applyFont="1" applyFill="1" applyBorder="1" applyAlignment="1">
      <alignment horizontal="center"/>
    </xf>
    <xf numFmtId="0" fontId="12" fillId="7" borderId="4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10" fillId="0" borderId="3" xfId="0" applyFont="1" applyBorder="1"/>
    <xf numFmtId="0" fontId="5" fillId="5" borderId="1" xfId="0" applyFont="1" applyFill="1" applyBorder="1" applyAlignment="1">
      <alignment horizontal="center"/>
    </xf>
    <xf numFmtId="0" fontId="10" fillId="0" borderId="4" xfId="0" applyFont="1" applyBorder="1"/>
    <xf numFmtId="0" fontId="11" fillId="0" borderId="5" xfId="0" applyFont="1" applyFill="1" applyBorder="1" applyAlignment="1"/>
  </cellXfs>
  <cellStyles count="4">
    <cellStyle name="Comma" xfId="1" builtinId="3"/>
    <cellStyle name="Normal" xfId="0" builtinId="0"/>
    <cellStyle name="Normal 2" xfId="2" xr:uid="{6781D479-5C45-4D2B-ABC4-10E78EDB9523}"/>
    <cellStyle name="Normal 4" xfId="3" xr:uid="{794B738A-984A-4088-B110-8EC44AB3F00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0.39997558519241921"/>
  </sheetPr>
  <dimension ref="A1:Z27"/>
  <sheetViews>
    <sheetView tabSelected="1" topLeftCell="L1" workbookViewId="0">
      <selection activeCell="AD10" sqref="AD10"/>
    </sheetView>
  </sheetViews>
  <sheetFormatPr defaultColWidth="8.88671875" defaultRowHeight="13.8" x14ac:dyDescent="0.25"/>
  <cols>
    <col min="1" max="1" width="18.33203125" style="5" customWidth="1"/>
    <col min="2" max="2" width="42.109375" style="5" customWidth="1"/>
    <col min="3" max="3" width="13.6640625" style="5" bestFit="1" customWidth="1"/>
    <col min="4" max="4" width="13" style="5" customWidth="1"/>
    <col min="5" max="5" width="12" style="5" customWidth="1"/>
    <col min="6" max="6" width="14.33203125" style="5" customWidth="1"/>
    <col min="7" max="7" width="11.5546875" style="5" customWidth="1"/>
    <col min="8" max="8" width="10.33203125" style="5" customWidth="1"/>
    <col min="9" max="9" width="12.6640625" style="5" customWidth="1"/>
    <col min="10" max="10" width="11.6640625" style="5" customWidth="1"/>
    <col min="11" max="12" width="12.33203125" style="5" customWidth="1"/>
    <col min="13" max="13" width="13.88671875" style="5" customWidth="1"/>
    <col min="14" max="14" width="14.44140625" style="5" customWidth="1"/>
    <col min="15" max="15" width="16.109375" style="5" customWidth="1"/>
    <col min="16" max="16" width="8.88671875" style="5" customWidth="1"/>
    <col min="17" max="17" width="10.33203125" style="5" customWidth="1"/>
    <col min="18" max="18" width="12.88671875" style="5" customWidth="1"/>
    <col min="19" max="19" width="10.5546875" style="5" customWidth="1"/>
    <col min="20" max="20" width="13.6640625" style="5" customWidth="1"/>
    <col min="21" max="21" width="13.33203125" style="5" customWidth="1"/>
    <col min="22" max="22" width="11.6640625" style="5" customWidth="1"/>
    <col min="23" max="23" width="10.88671875" style="5" customWidth="1"/>
    <col min="24" max="24" width="11.33203125" style="5" customWidth="1"/>
    <col min="25" max="25" width="11.109375" style="5" customWidth="1"/>
    <col min="26" max="26" width="14.44140625" style="5" customWidth="1"/>
    <col min="27" max="34" width="8.88671875" style="5" customWidth="1"/>
    <col min="35" max="16384" width="8.88671875" style="5"/>
  </cols>
  <sheetData>
    <row r="1" spans="1:26" x14ac:dyDescent="0.25">
      <c r="B1" s="17" t="s">
        <v>114</v>
      </c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</row>
    <row r="2" spans="1:26" s="8" customFormat="1" ht="15" customHeight="1" x14ac:dyDescent="0.25">
      <c r="A2" s="7" t="s">
        <v>0</v>
      </c>
      <c r="B2" s="20" t="s">
        <v>1</v>
      </c>
      <c r="C2" s="21"/>
      <c r="D2" s="22" t="s">
        <v>2</v>
      </c>
      <c r="E2" s="23"/>
      <c r="F2" s="23"/>
      <c r="G2" s="23"/>
      <c r="H2" s="23"/>
      <c r="I2" s="23"/>
      <c r="J2" s="23"/>
      <c r="K2" s="23"/>
      <c r="L2" s="23"/>
      <c r="M2" s="23"/>
      <c r="N2" s="21"/>
      <c r="O2" s="9" t="s">
        <v>3</v>
      </c>
      <c r="P2" s="20" t="s">
        <v>4</v>
      </c>
      <c r="Q2" s="21"/>
      <c r="R2" s="22" t="s">
        <v>5</v>
      </c>
      <c r="S2" s="21"/>
      <c r="T2" s="20" t="s">
        <v>6</v>
      </c>
      <c r="U2" s="21"/>
      <c r="V2" s="18" t="s">
        <v>115</v>
      </c>
      <c r="W2" s="19"/>
      <c r="X2" s="19"/>
      <c r="Y2" s="19"/>
    </row>
    <row r="3" spans="1:26" s="11" customFormat="1" ht="179.4" customHeight="1" x14ac:dyDescent="0.3">
      <c r="A3" s="1" t="s">
        <v>7</v>
      </c>
      <c r="B3" s="1" t="s">
        <v>8</v>
      </c>
      <c r="C3" s="1" t="s">
        <v>9</v>
      </c>
      <c r="D3" s="2" t="s">
        <v>10</v>
      </c>
      <c r="E3" s="1" t="s">
        <v>11</v>
      </c>
      <c r="F3" s="2" t="s">
        <v>12</v>
      </c>
      <c r="G3" s="1" t="s">
        <v>13</v>
      </c>
      <c r="H3" s="2" t="s">
        <v>14</v>
      </c>
      <c r="I3" s="2" t="s">
        <v>15</v>
      </c>
      <c r="J3" s="2" t="s">
        <v>16</v>
      </c>
      <c r="K3" s="2" t="s">
        <v>17</v>
      </c>
      <c r="L3" s="2" t="s">
        <v>18</v>
      </c>
      <c r="M3" s="1" t="s">
        <v>19</v>
      </c>
      <c r="N3" s="2" t="s">
        <v>20</v>
      </c>
      <c r="O3" s="9" t="s">
        <v>21</v>
      </c>
      <c r="P3" s="1" t="s">
        <v>22</v>
      </c>
      <c r="Q3" s="1" t="s">
        <v>23</v>
      </c>
      <c r="R3" s="1" t="s">
        <v>24</v>
      </c>
      <c r="S3" s="1" t="s">
        <v>25</v>
      </c>
      <c r="T3" s="1" t="s">
        <v>26</v>
      </c>
      <c r="U3" s="1" t="s">
        <v>27</v>
      </c>
      <c r="V3" s="6" t="s">
        <v>28</v>
      </c>
      <c r="W3" s="6" t="s">
        <v>29</v>
      </c>
      <c r="X3" s="6" t="s">
        <v>30</v>
      </c>
      <c r="Y3" s="6" t="s">
        <v>31</v>
      </c>
      <c r="Z3" s="1" t="s">
        <v>32</v>
      </c>
    </row>
    <row r="4" spans="1:26" x14ac:dyDescent="0.25">
      <c r="A4" s="15" t="s">
        <v>59</v>
      </c>
      <c r="B4" s="15" t="s">
        <v>94</v>
      </c>
      <c r="C4" s="15" t="s">
        <v>79</v>
      </c>
      <c r="D4" s="14">
        <v>22741.56</v>
      </c>
      <c r="E4" s="14" t="s">
        <v>33</v>
      </c>
      <c r="F4" s="14">
        <v>22817.02</v>
      </c>
      <c r="G4" s="14" t="s">
        <v>33</v>
      </c>
      <c r="H4" s="14" t="s">
        <v>33</v>
      </c>
      <c r="I4" s="14" t="s">
        <v>33</v>
      </c>
      <c r="J4" s="14" t="s">
        <v>33</v>
      </c>
      <c r="K4" s="14" t="s">
        <v>33</v>
      </c>
      <c r="L4" s="14">
        <v>1435.76</v>
      </c>
      <c r="M4" s="14" t="s">
        <v>33</v>
      </c>
      <c r="N4" s="14" t="s">
        <v>33</v>
      </c>
      <c r="O4" s="13">
        <f>SUM(D4:N4)</f>
        <v>46994.340000000004</v>
      </c>
      <c r="P4" s="14" t="s">
        <v>33</v>
      </c>
      <c r="Q4" s="14" t="s">
        <v>33</v>
      </c>
      <c r="R4" s="14">
        <v>16754.849999999999</v>
      </c>
      <c r="S4" s="14" t="s">
        <v>33</v>
      </c>
      <c r="T4" s="14" t="s">
        <v>33</v>
      </c>
      <c r="U4" s="14">
        <v>29.75</v>
      </c>
      <c r="V4" s="5" t="s">
        <v>35</v>
      </c>
      <c r="W4" s="14" t="s">
        <v>33</v>
      </c>
      <c r="X4" s="14" t="s">
        <v>33</v>
      </c>
      <c r="Y4" s="14" t="s">
        <v>33</v>
      </c>
      <c r="Z4" s="10">
        <v>9000</v>
      </c>
    </row>
    <row r="5" spans="1:26" x14ac:dyDescent="0.25">
      <c r="A5" s="15" t="s">
        <v>60</v>
      </c>
      <c r="B5" s="15" t="s">
        <v>95</v>
      </c>
      <c r="C5" s="15" t="s">
        <v>80</v>
      </c>
      <c r="D5" s="14">
        <v>0</v>
      </c>
      <c r="E5" s="14" t="s">
        <v>33</v>
      </c>
      <c r="F5" s="14">
        <v>11117.36</v>
      </c>
      <c r="G5" s="14" t="s">
        <v>33</v>
      </c>
      <c r="H5" s="14" t="s">
        <v>33</v>
      </c>
      <c r="I5" s="14" t="s">
        <v>33</v>
      </c>
      <c r="J5" s="14" t="s">
        <v>33</v>
      </c>
      <c r="K5" s="14" t="s">
        <v>33</v>
      </c>
      <c r="L5" s="14">
        <v>1045.5999999999999</v>
      </c>
      <c r="M5" s="14" t="s">
        <v>33</v>
      </c>
      <c r="N5" s="14" t="s">
        <v>33</v>
      </c>
      <c r="O5" s="13">
        <f t="shared" ref="O5:O23" si="0">SUM(D5:N5)</f>
        <v>12162.960000000001</v>
      </c>
      <c r="P5" s="14" t="s">
        <v>33</v>
      </c>
      <c r="Q5" s="14" t="s">
        <v>33</v>
      </c>
      <c r="R5" s="14">
        <v>10769.75</v>
      </c>
      <c r="S5" s="14" t="s">
        <v>33</v>
      </c>
      <c r="T5" s="14" t="s">
        <v>33</v>
      </c>
      <c r="U5" s="14">
        <v>41.65</v>
      </c>
      <c r="V5" s="5" t="s">
        <v>35</v>
      </c>
      <c r="W5" s="14" t="s">
        <v>33</v>
      </c>
      <c r="X5" s="14" t="s">
        <v>33</v>
      </c>
      <c r="Y5" s="14" t="s">
        <v>33</v>
      </c>
      <c r="Z5" s="10">
        <v>9000</v>
      </c>
    </row>
    <row r="6" spans="1:26" x14ac:dyDescent="0.25">
      <c r="A6" s="15" t="s">
        <v>61</v>
      </c>
      <c r="B6" s="15" t="s">
        <v>96</v>
      </c>
      <c r="C6" s="15" t="s">
        <v>81</v>
      </c>
      <c r="D6" s="14">
        <v>14149.85</v>
      </c>
      <c r="E6" s="14" t="s">
        <v>33</v>
      </c>
      <c r="F6" s="14">
        <v>31606.51</v>
      </c>
      <c r="G6" s="14" t="s">
        <v>33</v>
      </c>
      <c r="H6" s="14" t="s">
        <v>33</v>
      </c>
      <c r="I6" s="14" t="s">
        <v>33</v>
      </c>
      <c r="J6" s="14" t="s">
        <v>33</v>
      </c>
      <c r="K6" s="14" t="s">
        <v>33</v>
      </c>
      <c r="L6" s="14">
        <v>1416.42</v>
      </c>
      <c r="M6" s="14" t="s">
        <v>33</v>
      </c>
      <c r="N6" s="14" t="s">
        <v>33</v>
      </c>
      <c r="O6" s="13">
        <f t="shared" si="0"/>
        <v>47172.78</v>
      </c>
      <c r="P6" s="14" t="s">
        <v>33</v>
      </c>
      <c r="Q6" s="14" t="s">
        <v>33</v>
      </c>
      <c r="R6" s="14">
        <v>16409.25</v>
      </c>
      <c r="S6" s="14" t="s">
        <v>33</v>
      </c>
      <c r="T6" s="14" t="s">
        <v>33</v>
      </c>
      <c r="U6" s="14">
        <v>29.75</v>
      </c>
      <c r="V6" s="5" t="s">
        <v>35</v>
      </c>
      <c r="W6" s="14" t="s">
        <v>33</v>
      </c>
      <c r="X6" s="14" t="s">
        <v>33</v>
      </c>
      <c r="Y6" s="14" t="s">
        <v>33</v>
      </c>
      <c r="Z6" s="10">
        <v>9000</v>
      </c>
    </row>
    <row r="7" spans="1:26" x14ac:dyDescent="0.25">
      <c r="A7" s="15" t="s">
        <v>62</v>
      </c>
      <c r="B7" s="15" t="s">
        <v>97</v>
      </c>
      <c r="C7" s="15" t="s">
        <v>80</v>
      </c>
      <c r="D7" s="14">
        <v>7123.49</v>
      </c>
      <c r="E7" s="14" t="s">
        <v>33</v>
      </c>
      <c r="F7" s="14">
        <v>116289.29</v>
      </c>
      <c r="G7" s="14" t="s">
        <v>33</v>
      </c>
      <c r="H7" s="14" t="s">
        <v>33</v>
      </c>
      <c r="I7" s="14" t="s">
        <v>33</v>
      </c>
      <c r="J7" s="14" t="s">
        <v>33</v>
      </c>
      <c r="K7" s="14" t="s">
        <v>33</v>
      </c>
      <c r="L7" s="14">
        <v>0</v>
      </c>
      <c r="M7" s="14" t="s">
        <v>33</v>
      </c>
      <c r="N7" s="14" t="s">
        <v>33</v>
      </c>
      <c r="O7" s="13">
        <f t="shared" si="0"/>
        <v>123412.78</v>
      </c>
      <c r="P7" s="14" t="s">
        <v>33</v>
      </c>
      <c r="Q7" s="14" t="s">
        <v>33</v>
      </c>
      <c r="R7" s="14">
        <v>37023.85</v>
      </c>
      <c r="S7" s="14" t="s">
        <v>33</v>
      </c>
      <c r="T7" s="14" t="s">
        <v>33</v>
      </c>
      <c r="U7" s="14">
        <v>41.65</v>
      </c>
      <c r="V7" s="5" t="s">
        <v>35</v>
      </c>
      <c r="W7" s="14" t="s">
        <v>33</v>
      </c>
      <c r="X7" s="14" t="s">
        <v>33</v>
      </c>
      <c r="Y7" s="14" t="s">
        <v>33</v>
      </c>
      <c r="Z7" s="10">
        <v>9000</v>
      </c>
    </row>
    <row r="8" spans="1:26" x14ac:dyDescent="0.25">
      <c r="A8" s="15" t="s">
        <v>63</v>
      </c>
      <c r="B8" s="15" t="s">
        <v>98</v>
      </c>
      <c r="C8" s="15" t="s">
        <v>82</v>
      </c>
      <c r="D8" s="14">
        <v>5309.41</v>
      </c>
      <c r="E8" s="14" t="s">
        <v>33</v>
      </c>
      <c r="F8" s="14">
        <v>324.49</v>
      </c>
      <c r="G8" s="14" t="s">
        <v>33</v>
      </c>
      <c r="H8" s="14" t="s">
        <v>33</v>
      </c>
      <c r="I8" s="14" t="s">
        <v>33</v>
      </c>
      <c r="J8" s="14" t="s">
        <v>33</v>
      </c>
      <c r="K8" s="14" t="s">
        <v>33</v>
      </c>
      <c r="L8" s="14">
        <v>0</v>
      </c>
      <c r="M8" s="14" t="s">
        <v>33</v>
      </c>
      <c r="N8" s="14" t="s">
        <v>33</v>
      </c>
      <c r="O8" s="13">
        <f t="shared" si="0"/>
        <v>5633.9</v>
      </c>
      <c r="P8" s="14" t="s">
        <v>33</v>
      </c>
      <c r="Q8" s="14" t="s">
        <v>33</v>
      </c>
      <c r="R8" s="14">
        <v>1822.95</v>
      </c>
      <c r="S8" s="14" t="s">
        <v>33</v>
      </c>
      <c r="T8" s="14" t="s">
        <v>33</v>
      </c>
      <c r="U8" s="14">
        <v>28.25</v>
      </c>
      <c r="V8" s="5" t="s">
        <v>35</v>
      </c>
      <c r="W8" s="14" t="s">
        <v>33</v>
      </c>
      <c r="X8" s="14" t="s">
        <v>33</v>
      </c>
      <c r="Y8" s="14" t="s">
        <v>33</v>
      </c>
      <c r="Z8" s="10">
        <v>9000</v>
      </c>
    </row>
    <row r="9" spans="1:26" x14ac:dyDescent="0.25">
      <c r="A9" s="15" t="s">
        <v>64</v>
      </c>
      <c r="B9" s="15" t="s">
        <v>99</v>
      </c>
      <c r="C9" s="15" t="s">
        <v>83</v>
      </c>
      <c r="D9" s="14">
        <v>26868.87</v>
      </c>
      <c r="E9" s="14" t="s">
        <v>33</v>
      </c>
      <c r="F9" s="14">
        <v>6806.94</v>
      </c>
      <c r="G9" s="14" t="s">
        <v>33</v>
      </c>
      <c r="H9" s="14" t="s">
        <v>33</v>
      </c>
      <c r="I9" s="14" t="s">
        <v>33</v>
      </c>
      <c r="J9" s="14" t="s">
        <v>33</v>
      </c>
      <c r="K9" s="14" t="s">
        <v>33</v>
      </c>
      <c r="L9" s="14">
        <v>0</v>
      </c>
      <c r="M9" s="14" t="s">
        <v>33</v>
      </c>
      <c r="N9" s="14" t="s">
        <v>33</v>
      </c>
      <c r="O9" s="13">
        <f t="shared" si="0"/>
        <v>33675.81</v>
      </c>
      <c r="P9" s="14" t="s">
        <v>33</v>
      </c>
      <c r="Q9" s="14" t="s">
        <v>33</v>
      </c>
      <c r="R9" s="14">
        <v>10495.05</v>
      </c>
      <c r="S9" s="14" t="s">
        <v>33</v>
      </c>
      <c r="T9" s="14" t="s">
        <v>33</v>
      </c>
      <c r="U9" s="14">
        <v>29.75</v>
      </c>
      <c r="V9" s="5" t="s">
        <v>35</v>
      </c>
      <c r="W9" s="14" t="s">
        <v>33</v>
      </c>
      <c r="X9" s="14" t="s">
        <v>33</v>
      </c>
      <c r="Y9" s="14" t="s">
        <v>33</v>
      </c>
      <c r="Z9" s="10">
        <v>9000</v>
      </c>
    </row>
    <row r="10" spans="1:26" x14ac:dyDescent="0.25">
      <c r="A10" s="15" t="s">
        <v>65</v>
      </c>
      <c r="B10" s="15" t="s">
        <v>100</v>
      </c>
      <c r="C10" s="15" t="s">
        <v>84</v>
      </c>
      <c r="D10" s="14">
        <v>4061.96</v>
      </c>
      <c r="E10" s="14" t="s">
        <v>33</v>
      </c>
      <c r="F10" s="14">
        <v>2127.25</v>
      </c>
      <c r="G10" s="14" t="s">
        <v>33</v>
      </c>
      <c r="H10" s="14" t="s">
        <v>33</v>
      </c>
      <c r="I10" s="14" t="s">
        <v>33</v>
      </c>
      <c r="J10" s="14" t="s">
        <v>33</v>
      </c>
      <c r="K10" s="14" t="s">
        <v>33</v>
      </c>
      <c r="L10" s="14">
        <v>0</v>
      </c>
      <c r="M10" s="14" t="s">
        <v>33</v>
      </c>
      <c r="N10" s="14" t="s">
        <v>33</v>
      </c>
      <c r="O10" s="13">
        <f t="shared" si="0"/>
        <v>6189.21</v>
      </c>
      <c r="P10" s="14" t="s">
        <v>33</v>
      </c>
      <c r="Q10" s="14" t="s">
        <v>33</v>
      </c>
      <c r="R10" s="14">
        <v>2343.4</v>
      </c>
      <c r="S10" s="14" t="s">
        <v>33</v>
      </c>
      <c r="T10" s="14" t="s">
        <v>33</v>
      </c>
      <c r="U10" s="14">
        <v>29.75</v>
      </c>
      <c r="V10" s="5" t="s">
        <v>35</v>
      </c>
      <c r="W10" s="14" t="s">
        <v>33</v>
      </c>
      <c r="X10" s="14" t="s">
        <v>33</v>
      </c>
      <c r="Y10" s="14" t="s">
        <v>33</v>
      </c>
      <c r="Z10" s="10">
        <v>9000</v>
      </c>
    </row>
    <row r="11" spans="1:26" x14ac:dyDescent="0.25">
      <c r="A11" s="15" t="s">
        <v>66</v>
      </c>
      <c r="B11" s="15" t="s">
        <v>101</v>
      </c>
      <c r="C11" s="15" t="s">
        <v>80</v>
      </c>
      <c r="D11" s="14">
        <v>15464.53</v>
      </c>
      <c r="E11" s="14" t="s">
        <v>33</v>
      </c>
      <c r="F11" s="14">
        <v>8531.73</v>
      </c>
      <c r="G11" s="14" t="s">
        <v>33</v>
      </c>
      <c r="H11" s="14" t="s">
        <v>33</v>
      </c>
      <c r="I11" s="14" t="s">
        <v>33</v>
      </c>
      <c r="J11" s="14" t="s">
        <v>33</v>
      </c>
      <c r="K11" s="14" t="s">
        <v>33</v>
      </c>
      <c r="L11" s="14">
        <v>702.9</v>
      </c>
      <c r="M11" s="14" t="s">
        <v>33</v>
      </c>
      <c r="N11" s="14" t="s">
        <v>33</v>
      </c>
      <c r="O11" s="13">
        <f t="shared" si="0"/>
        <v>24699.160000000003</v>
      </c>
      <c r="P11" s="14" t="s">
        <v>33</v>
      </c>
      <c r="Q11" s="14" t="s">
        <v>33</v>
      </c>
      <c r="R11" s="14">
        <v>7239.95</v>
      </c>
      <c r="S11" s="14" t="s">
        <v>33</v>
      </c>
      <c r="T11" s="14" t="s">
        <v>33</v>
      </c>
      <c r="U11" s="14">
        <v>41.65</v>
      </c>
      <c r="V11" s="5" t="s">
        <v>35</v>
      </c>
      <c r="W11" s="14" t="s">
        <v>33</v>
      </c>
      <c r="X11" s="14" t="s">
        <v>33</v>
      </c>
      <c r="Y11" s="14" t="s">
        <v>33</v>
      </c>
      <c r="Z11" s="10">
        <v>9000</v>
      </c>
    </row>
    <row r="12" spans="1:26" x14ac:dyDescent="0.25">
      <c r="A12" s="15" t="s">
        <v>67</v>
      </c>
      <c r="B12" s="15" t="s">
        <v>102</v>
      </c>
      <c r="C12" s="15" t="s">
        <v>85</v>
      </c>
      <c r="D12" s="14">
        <v>9065.89</v>
      </c>
      <c r="E12" s="14" t="s">
        <v>33</v>
      </c>
      <c r="F12" s="14">
        <v>27396.53</v>
      </c>
      <c r="G12" s="14" t="s">
        <v>33</v>
      </c>
      <c r="H12" s="14" t="s">
        <v>33</v>
      </c>
      <c r="I12" s="14" t="s">
        <v>33</v>
      </c>
      <c r="J12" s="14" t="s">
        <v>33</v>
      </c>
      <c r="K12" s="14" t="s">
        <v>33</v>
      </c>
      <c r="L12" s="14">
        <v>1108.71</v>
      </c>
      <c r="M12" s="14" t="s">
        <v>33</v>
      </c>
      <c r="N12" s="14" t="s">
        <v>33</v>
      </c>
      <c r="O12" s="13">
        <f t="shared" si="0"/>
        <v>37571.129999999997</v>
      </c>
      <c r="P12" s="14" t="s">
        <v>33</v>
      </c>
      <c r="Q12" s="14" t="s">
        <v>33</v>
      </c>
      <c r="R12" s="14">
        <v>12305.25</v>
      </c>
      <c r="S12" s="14" t="s">
        <v>33</v>
      </c>
      <c r="T12" s="14" t="s">
        <v>33</v>
      </c>
      <c r="U12" s="14">
        <v>29.75</v>
      </c>
      <c r="V12" s="5" t="s">
        <v>35</v>
      </c>
      <c r="W12" s="14" t="s">
        <v>33</v>
      </c>
      <c r="X12" s="14" t="s">
        <v>33</v>
      </c>
      <c r="Y12" s="14" t="s">
        <v>33</v>
      </c>
      <c r="Z12" s="10">
        <v>9000</v>
      </c>
    </row>
    <row r="13" spans="1:26" x14ac:dyDescent="0.25">
      <c r="A13" s="15" t="s">
        <v>68</v>
      </c>
      <c r="B13" s="15" t="s">
        <v>103</v>
      </c>
      <c r="C13" s="15" t="s">
        <v>86</v>
      </c>
      <c r="D13" s="14">
        <v>9102.67</v>
      </c>
      <c r="E13" s="14" t="s">
        <v>33</v>
      </c>
      <c r="F13" s="14">
        <v>5716.23</v>
      </c>
      <c r="G13" s="14" t="s">
        <v>33</v>
      </c>
      <c r="H13" s="14" t="s">
        <v>33</v>
      </c>
      <c r="I13" s="14" t="s">
        <v>33</v>
      </c>
      <c r="J13" s="14" t="s">
        <v>33</v>
      </c>
      <c r="K13" s="14" t="s">
        <v>33</v>
      </c>
      <c r="L13" s="14">
        <v>0</v>
      </c>
      <c r="M13" s="14" t="s">
        <v>33</v>
      </c>
      <c r="N13" s="14" t="s">
        <v>33</v>
      </c>
      <c r="O13" s="13">
        <f t="shared" si="0"/>
        <v>14818.9</v>
      </c>
      <c r="P13" s="14" t="s">
        <v>33</v>
      </c>
      <c r="Q13" s="14" t="s">
        <v>33</v>
      </c>
      <c r="R13" s="14">
        <v>5477.05</v>
      </c>
      <c r="S13" s="14" t="s">
        <v>33</v>
      </c>
      <c r="T13" s="14" t="s">
        <v>33</v>
      </c>
      <c r="U13" s="14">
        <v>29.75</v>
      </c>
      <c r="V13" s="5" t="s">
        <v>35</v>
      </c>
      <c r="W13" s="14" t="s">
        <v>33</v>
      </c>
      <c r="X13" s="14" t="s">
        <v>33</v>
      </c>
      <c r="Y13" s="14" t="s">
        <v>33</v>
      </c>
      <c r="Z13" s="10">
        <v>9000</v>
      </c>
    </row>
    <row r="14" spans="1:26" x14ac:dyDescent="0.25">
      <c r="A14" s="15" t="s">
        <v>69</v>
      </c>
      <c r="B14" s="15" t="s">
        <v>104</v>
      </c>
      <c r="C14" s="15" t="s">
        <v>87</v>
      </c>
      <c r="D14" s="14">
        <v>8982.82</v>
      </c>
      <c r="E14" s="14" t="s">
        <v>33</v>
      </c>
      <c r="F14" s="14">
        <v>29565.32</v>
      </c>
      <c r="G14" s="14" t="s">
        <v>33</v>
      </c>
      <c r="H14" s="14" t="s">
        <v>33</v>
      </c>
      <c r="I14" s="14" t="s">
        <v>33</v>
      </c>
      <c r="J14" s="14" t="s">
        <v>33</v>
      </c>
      <c r="K14" s="14" t="s">
        <v>33</v>
      </c>
      <c r="L14" s="14">
        <v>1166.6500000000001</v>
      </c>
      <c r="M14" s="14" t="s">
        <v>33</v>
      </c>
      <c r="N14" s="14" t="s">
        <v>33</v>
      </c>
      <c r="O14" s="13">
        <f t="shared" si="0"/>
        <v>39714.79</v>
      </c>
      <c r="P14" s="14" t="s">
        <v>33</v>
      </c>
      <c r="Q14" s="14" t="s">
        <v>33</v>
      </c>
      <c r="R14" s="14">
        <v>12768.2</v>
      </c>
      <c r="S14" s="14" t="s">
        <v>33</v>
      </c>
      <c r="T14" s="14" t="s">
        <v>33</v>
      </c>
      <c r="U14" s="14">
        <v>29.75</v>
      </c>
      <c r="V14" s="5" t="s">
        <v>34</v>
      </c>
      <c r="W14" s="14" t="s">
        <v>33</v>
      </c>
      <c r="X14" s="14" t="s">
        <v>33</v>
      </c>
      <c r="Y14" s="14" t="s">
        <v>33</v>
      </c>
      <c r="Z14" s="14" t="s">
        <v>33</v>
      </c>
    </row>
    <row r="15" spans="1:26" x14ac:dyDescent="0.25">
      <c r="A15" s="15" t="s">
        <v>70</v>
      </c>
      <c r="B15" s="15" t="s">
        <v>105</v>
      </c>
      <c r="C15" s="15" t="s">
        <v>80</v>
      </c>
      <c r="D15" s="14">
        <v>31520.080000000002</v>
      </c>
      <c r="E15" s="14" t="s">
        <v>33</v>
      </c>
      <c r="F15" s="14">
        <v>11277.87</v>
      </c>
      <c r="G15" s="14" t="s">
        <v>33</v>
      </c>
      <c r="H15" s="14" t="s">
        <v>33</v>
      </c>
      <c r="I15" s="14" t="s">
        <v>33</v>
      </c>
      <c r="J15" s="14" t="s">
        <v>33</v>
      </c>
      <c r="K15" s="14" t="s">
        <v>33</v>
      </c>
      <c r="L15" s="14">
        <v>1208.94</v>
      </c>
      <c r="M15" s="14" t="s">
        <v>33</v>
      </c>
      <c r="N15" s="14" t="s">
        <v>33</v>
      </c>
      <c r="O15" s="13">
        <f t="shared" si="0"/>
        <v>44006.890000000007</v>
      </c>
      <c r="P15" s="14" t="s">
        <v>33</v>
      </c>
      <c r="Q15" s="14" t="s">
        <v>33</v>
      </c>
      <c r="R15" s="14">
        <v>12452.1</v>
      </c>
      <c r="S15" s="14" t="s">
        <v>33</v>
      </c>
      <c r="T15" s="14" t="s">
        <v>33</v>
      </c>
      <c r="U15" s="14">
        <v>41.65</v>
      </c>
      <c r="V15" s="5" t="s">
        <v>34</v>
      </c>
      <c r="W15" s="14" t="s">
        <v>33</v>
      </c>
      <c r="X15" s="14" t="s">
        <v>33</v>
      </c>
      <c r="Y15" s="14" t="s">
        <v>33</v>
      </c>
      <c r="Z15" s="14" t="s">
        <v>33</v>
      </c>
    </row>
    <row r="16" spans="1:26" x14ac:dyDescent="0.25">
      <c r="A16" s="15" t="s">
        <v>71</v>
      </c>
      <c r="B16" s="15" t="s">
        <v>106</v>
      </c>
      <c r="C16" s="15" t="s">
        <v>88</v>
      </c>
      <c r="D16" s="14">
        <v>16031.34</v>
      </c>
      <c r="E16" s="14" t="s">
        <v>33</v>
      </c>
      <c r="F16" s="14">
        <v>19661.03</v>
      </c>
      <c r="G16" s="14" t="s">
        <v>33</v>
      </c>
      <c r="H16" s="14" t="s">
        <v>33</v>
      </c>
      <c r="I16" s="14" t="s">
        <v>33</v>
      </c>
      <c r="J16" s="14" t="s">
        <v>33</v>
      </c>
      <c r="K16" s="14" t="s">
        <v>33</v>
      </c>
      <c r="L16" s="14">
        <v>1183.6099999999999</v>
      </c>
      <c r="M16" s="14" t="s">
        <v>33</v>
      </c>
      <c r="N16" s="14" t="s">
        <v>33</v>
      </c>
      <c r="O16" s="13">
        <f t="shared" si="0"/>
        <v>36875.979999999996</v>
      </c>
      <c r="P16" s="14" t="s">
        <v>33</v>
      </c>
      <c r="Q16" s="14" t="s">
        <v>33</v>
      </c>
      <c r="R16" s="14">
        <v>12836.05</v>
      </c>
      <c r="S16" s="14" t="s">
        <v>33</v>
      </c>
      <c r="T16" s="14" t="s">
        <v>33</v>
      </c>
      <c r="U16" s="14">
        <v>29.75</v>
      </c>
      <c r="V16" s="5" t="s">
        <v>34</v>
      </c>
      <c r="W16" s="14" t="s">
        <v>33</v>
      </c>
      <c r="X16" s="14" t="s">
        <v>33</v>
      </c>
      <c r="Y16" s="14" t="s">
        <v>33</v>
      </c>
      <c r="Z16" s="14" t="s">
        <v>33</v>
      </c>
    </row>
    <row r="17" spans="1:26" x14ac:dyDescent="0.25">
      <c r="A17" s="15" t="s">
        <v>72</v>
      </c>
      <c r="B17" s="15" t="s">
        <v>107</v>
      </c>
      <c r="C17" s="15" t="s">
        <v>89</v>
      </c>
      <c r="D17" s="14">
        <v>32368.44</v>
      </c>
      <c r="E17" s="14" t="s">
        <v>33</v>
      </c>
      <c r="F17" s="14">
        <v>16439.439999999999</v>
      </c>
      <c r="G17" s="14" t="s">
        <v>33</v>
      </c>
      <c r="H17" s="14" t="s">
        <v>33</v>
      </c>
      <c r="I17" s="14" t="s">
        <v>33</v>
      </c>
      <c r="J17" s="14" t="s">
        <v>33</v>
      </c>
      <c r="K17" s="14" t="s">
        <v>33</v>
      </c>
      <c r="L17" s="14">
        <v>1470.16</v>
      </c>
      <c r="M17" s="14" t="s">
        <v>33</v>
      </c>
      <c r="N17" s="14" t="s">
        <v>33</v>
      </c>
      <c r="O17" s="13">
        <f t="shared" si="0"/>
        <v>50278.04</v>
      </c>
      <c r="P17" s="14" t="s">
        <v>33</v>
      </c>
      <c r="Q17" s="14" t="s">
        <v>33</v>
      </c>
      <c r="R17" s="14">
        <v>15142.65</v>
      </c>
      <c r="S17" s="14" t="s">
        <v>33</v>
      </c>
      <c r="T17" s="14" t="s">
        <v>33</v>
      </c>
      <c r="U17" s="14">
        <v>29.75</v>
      </c>
      <c r="V17" s="5" t="s">
        <v>34</v>
      </c>
      <c r="W17" s="14" t="s">
        <v>33</v>
      </c>
      <c r="X17" s="14" t="s">
        <v>33</v>
      </c>
      <c r="Y17" s="14" t="s">
        <v>33</v>
      </c>
      <c r="Z17" s="14" t="s">
        <v>33</v>
      </c>
    </row>
    <row r="18" spans="1:26" x14ac:dyDescent="0.25">
      <c r="A18" s="15" t="s">
        <v>73</v>
      </c>
      <c r="B18" s="15" t="s">
        <v>108</v>
      </c>
      <c r="C18" s="15" t="s">
        <v>90</v>
      </c>
      <c r="D18" s="14">
        <v>3616.23</v>
      </c>
      <c r="E18" s="14" t="s">
        <v>33</v>
      </c>
      <c r="F18" s="14">
        <v>2127.25</v>
      </c>
      <c r="G18" s="14" t="s">
        <v>33</v>
      </c>
      <c r="H18" s="14" t="s">
        <v>33</v>
      </c>
      <c r="I18" s="14" t="s">
        <v>33</v>
      </c>
      <c r="J18" s="14" t="s">
        <v>33</v>
      </c>
      <c r="K18" s="14" t="s">
        <v>33</v>
      </c>
      <c r="L18" s="14">
        <v>0</v>
      </c>
      <c r="M18" s="14" t="s">
        <v>33</v>
      </c>
      <c r="N18" s="14" t="s">
        <v>33</v>
      </c>
      <c r="O18" s="13">
        <f t="shared" si="0"/>
        <v>5743.48</v>
      </c>
      <c r="P18" s="14" t="s">
        <v>33</v>
      </c>
      <c r="Q18" s="14" t="s">
        <v>33</v>
      </c>
      <c r="R18" s="14">
        <v>2191.8000000000002</v>
      </c>
      <c r="S18" s="14" t="s">
        <v>33</v>
      </c>
      <c r="T18" s="14" t="s">
        <v>33</v>
      </c>
      <c r="U18" s="14">
        <v>29.75</v>
      </c>
      <c r="V18" s="5" t="s">
        <v>34</v>
      </c>
      <c r="W18" s="14" t="s">
        <v>33</v>
      </c>
      <c r="X18" s="14" t="s">
        <v>33</v>
      </c>
      <c r="Y18" s="14" t="s">
        <v>33</v>
      </c>
      <c r="Z18" s="14" t="s">
        <v>33</v>
      </c>
    </row>
    <row r="19" spans="1:26" x14ac:dyDescent="0.25">
      <c r="A19" s="15" t="s">
        <v>74</v>
      </c>
      <c r="B19" s="15" t="s">
        <v>109</v>
      </c>
      <c r="C19" s="15" t="s">
        <v>80</v>
      </c>
      <c r="D19" s="14">
        <v>24424.89</v>
      </c>
      <c r="E19" s="14" t="s">
        <v>33</v>
      </c>
      <c r="F19" s="14">
        <v>13024.81</v>
      </c>
      <c r="G19" s="14" t="s">
        <v>33</v>
      </c>
      <c r="H19" s="14" t="s">
        <v>33</v>
      </c>
      <c r="I19" s="14" t="s">
        <v>33</v>
      </c>
      <c r="J19" s="14" t="s">
        <v>33</v>
      </c>
      <c r="K19" s="14" t="s">
        <v>33</v>
      </c>
      <c r="L19" s="14">
        <v>1105.1099999999999</v>
      </c>
      <c r="M19" s="14" t="s">
        <v>33</v>
      </c>
      <c r="N19" s="14" t="s">
        <v>33</v>
      </c>
      <c r="O19" s="13">
        <f t="shared" si="0"/>
        <v>38554.81</v>
      </c>
      <c r="P19" s="14" t="s">
        <v>33</v>
      </c>
      <c r="Q19" s="14" t="s">
        <v>33</v>
      </c>
      <c r="R19" s="14">
        <v>11382.65</v>
      </c>
      <c r="S19" s="14" t="s">
        <v>33</v>
      </c>
      <c r="T19" s="14" t="s">
        <v>33</v>
      </c>
      <c r="U19" s="14">
        <v>41.65</v>
      </c>
      <c r="V19" s="5" t="s">
        <v>34</v>
      </c>
      <c r="W19" s="14" t="s">
        <v>33</v>
      </c>
      <c r="X19" s="14" t="s">
        <v>33</v>
      </c>
      <c r="Y19" s="14" t="s">
        <v>33</v>
      </c>
      <c r="Z19" s="14" t="s">
        <v>33</v>
      </c>
    </row>
    <row r="20" spans="1:26" x14ac:dyDescent="0.25">
      <c r="A20" s="15" t="s">
        <v>75</v>
      </c>
      <c r="B20" s="15" t="s">
        <v>110</v>
      </c>
      <c r="C20" s="15" t="s">
        <v>91</v>
      </c>
      <c r="D20" s="14">
        <v>13478.46</v>
      </c>
      <c r="E20" s="14" t="s">
        <v>33</v>
      </c>
      <c r="F20" s="14">
        <v>15888.48</v>
      </c>
      <c r="G20" s="14" t="s">
        <v>33</v>
      </c>
      <c r="H20" s="14" t="s">
        <v>33</v>
      </c>
      <c r="I20" s="14" t="s">
        <v>33</v>
      </c>
      <c r="J20" s="14" t="s">
        <v>33</v>
      </c>
      <c r="K20" s="14" t="s">
        <v>33</v>
      </c>
      <c r="L20" s="14">
        <v>0</v>
      </c>
      <c r="M20" s="14" t="s">
        <v>33</v>
      </c>
      <c r="N20" s="14" t="s">
        <v>33</v>
      </c>
      <c r="O20" s="13">
        <f t="shared" si="0"/>
        <v>29366.94</v>
      </c>
      <c r="P20" s="14" t="s">
        <v>33</v>
      </c>
      <c r="Q20" s="14" t="s">
        <v>33</v>
      </c>
      <c r="R20" s="14">
        <v>9954.5499999999993</v>
      </c>
      <c r="S20" s="14" t="s">
        <v>33</v>
      </c>
      <c r="T20" s="14" t="s">
        <v>33</v>
      </c>
      <c r="U20" s="14">
        <v>29.75</v>
      </c>
      <c r="V20" s="5" t="s">
        <v>34</v>
      </c>
      <c r="W20" s="14" t="s">
        <v>33</v>
      </c>
      <c r="X20" s="14" t="s">
        <v>33</v>
      </c>
      <c r="Y20" s="14" t="s">
        <v>33</v>
      </c>
      <c r="Z20" s="14" t="s">
        <v>33</v>
      </c>
    </row>
    <row r="21" spans="1:26" x14ac:dyDescent="0.25">
      <c r="A21" s="15" t="s">
        <v>76</v>
      </c>
      <c r="B21" s="15" t="s">
        <v>111</v>
      </c>
      <c r="C21" s="15" t="s">
        <v>92</v>
      </c>
      <c r="D21" s="14">
        <v>12925.75</v>
      </c>
      <c r="E21" s="14" t="s">
        <v>33</v>
      </c>
      <c r="F21" s="14">
        <v>8098</v>
      </c>
      <c r="G21" s="14" t="s">
        <v>33</v>
      </c>
      <c r="H21" s="14" t="s">
        <v>33</v>
      </c>
      <c r="I21" s="14" t="s">
        <v>33</v>
      </c>
      <c r="J21" s="14" t="s">
        <v>33</v>
      </c>
      <c r="K21" s="14" t="s">
        <v>33</v>
      </c>
      <c r="L21" s="14">
        <v>0</v>
      </c>
      <c r="M21" s="14" t="s">
        <v>33</v>
      </c>
      <c r="N21" s="14" t="s">
        <v>33</v>
      </c>
      <c r="O21" s="13">
        <f t="shared" si="0"/>
        <v>21023.75</v>
      </c>
      <c r="P21" s="14" t="s">
        <v>33</v>
      </c>
      <c r="Q21" s="14" t="s">
        <v>33</v>
      </c>
      <c r="R21" s="14">
        <v>7832.8</v>
      </c>
      <c r="S21" s="14" t="s">
        <v>33</v>
      </c>
      <c r="T21" s="14" t="s">
        <v>33</v>
      </c>
      <c r="U21" s="14">
        <v>29.75</v>
      </c>
      <c r="V21" s="5" t="s">
        <v>34</v>
      </c>
      <c r="W21" s="14" t="s">
        <v>33</v>
      </c>
      <c r="X21" s="14" t="s">
        <v>33</v>
      </c>
      <c r="Y21" s="14" t="s">
        <v>33</v>
      </c>
      <c r="Z21" s="14" t="s">
        <v>33</v>
      </c>
    </row>
    <row r="22" spans="1:26" x14ac:dyDescent="0.25">
      <c r="A22" s="15" t="s">
        <v>77</v>
      </c>
      <c r="B22" s="15" t="s">
        <v>112</v>
      </c>
      <c r="C22" s="15" t="s">
        <v>93</v>
      </c>
      <c r="D22" s="14">
        <v>2892.99</v>
      </c>
      <c r="E22" s="14" t="s">
        <v>33</v>
      </c>
      <c r="F22" s="14">
        <v>1701.8</v>
      </c>
      <c r="G22" s="14" t="s">
        <v>33</v>
      </c>
      <c r="H22" s="14" t="s">
        <v>33</v>
      </c>
      <c r="I22" s="14" t="s">
        <v>33</v>
      </c>
      <c r="J22" s="14" t="s">
        <v>33</v>
      </c>
      <c r="K22" s="14" t="s">
        <v>33</v>
      </c>
      <c r="L22" s="14">
        <v>0</v>
      </c>
      <c r="M22" s="14" t="s">
        <v>33</v>
      </c>
      <c r="N22" s="14" t="s">
        <v>33</v>
      </c>
      <c r="O22" s="13">
        <f t="shared" si="0"/>
        <v>4594.79</v>
      </c>
      <c r="P22" s="14" t="s">
        <v>33</v>
      </c>
      <c r="Q22" s="14" t="s">
        <v>33</v>
      </c>
      <c r="R22" s="14">
        <v>1753.45</v>
      </c>
      <c r="S22" s="14" t="s">
        <v>33</v>
      </c>
      <c r="T22" s="14" t="s">
        <v>33</v>
      </c>
      <c r="U22" s="14">
        <v>26.25</v>
      </c>
      <c r="V22" s="5" t="s">
        <v>34</v>
      </c>
      <c r="W22" s="14" t="s">
        <v>33</v>
      </c>
      <c r="X22" s="14" t="s">
        <v>33</v>
      </c>
      <c r="Y22" s="14" t="s">
        <v>33</v>
      </c>
      <c r="Z22" s="14" t="s">
        <v>33</v>
      </c>
    </row>
    <row r="23" spans="1:26" x14ac:dyDescent="0.25">
      <c r="A23" s="15" t="s">
        <v>78</v>
      </c>
      <c r="B23" s="15" t="s">
        <v>113</v>
      </c>
      <c r="C23" s="15" t="s">
        <v>80</v>
      </c>
      <c r="D23" s="14">
        <v>38469.24</v>
      </c>
      <c r="E23" s="14" t="s">
        <v>33</v>
      </c>
      <c r="F23" s="14">
        <v>19204.91</v>
      </c>
      <c r="G23" s="14" t="s">
        <v>33</v>
      </c>
      <c r="H23" s="14" t="s">
        <v>33</v>
      </c>
      <c r="I23" s="14" t="s">
        <v>33</v>
      </c>
      <c r="J23" s="14" t="s">
        <v>33</v>
      </c>
      <c r="K23" s="14" t="s">
        <v>33</v>
      </c>
      <c r="L23" s="14">
        <v>0</v>
      </c>
      <c r="M23" s="14" t="s">
        <v>33</v>
      </c>
      <c r="N23" s="14" t="s">
        <v>33</v>
      </c>
      <c r="O23" s="13">
        <f t="shared" si="0"/>
        <v>57674.149999999994</v>
      </c>
      <c r="P23" s="14" t="s">
        <v>33</v>
      </c>
      <c r="Q23" s="14" t="s">
        <v>33</v>
      </c>
      <c r="R23" s="14">
        <v>16502.25</v>
      </c>
      <c r="S23" s="14" t="s">
        <v>33</v>
      </c>
      <c r="T23" s="14" t="s">
        <v>33</v>
      </c>
      <c r="U23" s="14">
        <v>41.65</v>
      </c>
      <c r="V23" s="5" t="s">
        <v>34</v>
      </c>
      <c r="W23" s="14" t="s">
        <v>33</v>
      </c>
      <c r="X23" s="14" t="s">
        <v>33</v>
      </c>
      <c r="Y23" s="14" t="s">
        <v>33</v>
      </c>
      <c r="Z23" s="14" t="s">
        <v>33</v>
      </c>
    </row>
    <row r="24" spans="1:26" x14ac:dyDescent="0.25">
      <c r="O24" s="10"/>
    </row>
    <row r="27" spans="1:26" x14ac:dyDescent="0.25">
      <c r="B27" s="12"/>
      <c r="C27" s="16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</row>
  </sheetData>
  <mergeCells count="6">
    <mergeCell ref="V2:Y2"/>
    <mergeCell ref="T2:U2"/>
    <mergeCell ref="D2:N2"/>
    <mergeCell ref="P2:Q2"/>
    <mergeCell ref="B2:C2"/>
    <mergeCell ref="R2:S2"/>
  </mergeCells>
  <phoneticPr fontId="8" type="noConversion"/>
  <pageMargins left="0.7" right="0.7" top="0.75" bottom="0.75" header="0.3" footer="0.3"/>
  <ignoredErrors>
    <ignoredError sqref="O5:O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 tint="4.9989318521683403E-2"/>
  </sheetPr>
  <dimension ref="A1:Z1"/>
  <sheetViews>
    <sheetView topLeftCell="K1" workbookViewId="0">
      <selection activeCell="M20" sqref="M20"/>
    </sheetView>
  </sheetViews>
  <sheetFormatPr defaultColWidth="8.88671875" defaultRowHeight="13.8" x14ac:dyDescent="0.25"/>
  <cols>
    <col min="1" max="1" width="11.109375" style="5" customWidth="1"/>
    <col min="2" max="2" width="11.5546875" style="5" customWidth="1"/>
    <col min="3" max="3" width="8.88671875" style="5" customWidth="1"/>
    <col min="4" max="4" width="11.88671875" style="5" customWidth="1"/>
    <col min="5" max="5" width="10" style="5" customWidth="1"/>
    <col min="6" max="6" width="11.109375" style="5" customWidth="1"/>
    <col min="7" max="7" width="8.88671875" style="5" customWidth="1"/>
    <col min="8" max="8" width="14.109375" style="5" customWidth="1"/>
    <col min="9" max="9" width="12.6640625" style="5" customWidth="1"/>
    <col min="10" max="10" width="8.88671875" style="5" customWidth="1"/>
    <col min="11" max="11" width="10.88671875" style="5" customWidth="1"/>
    <col min="12" max="12" width="10.33203125" style="5" customWidth="1"/>
    <col min="13" max="13" width="11.33203125" style="5" customWidth="1"/>
    <col min="14" max="14" width="12.109375" style="5" customWidth="1"/>
    <col min="15" max="15" width="15.33203125" style="5" customWidth="1"/>
    <col min="16" max="16" width="12.6640625" style="5" customWidth="1"/>
    <col min="17" max="17" width="14.88671875" style="5" customWidth="1"/>
    <col min="18" max="18" width="12.6640625" style="5" customWidth="1"/>
    <col min="19" max="20" width="13.33203125" style="5" customWidth="1"/>
    <col min="21" max="21" width="14.44140625" style="5" customWidth="1"/>
    <col min="22" max="22" width="20.6640625" style="5" customWidth="1"/>
    <col min="23" max="23" width="12.6640625" style="5" customWidth="1"/>
    <col min="24" max="24" width="14.6640625" style="5" customWidth="1"/>
    <col min="25" max="25" width="8.88671875" style="5" customWidth="1"/>
    <col min="26" max="26" width="13.88671875" style="5" customWidth="1"/>
    <col min="27" max="34" width="8.88671875" style="5" customWidth="1"/>
    <col min="35" max="16384" width="8.88671875" style="5"/>
  </cols>
  <sheetData>
    <row r="1" spans="1:26" ht="124.2" customHeight="1" x14ac:dyDescent="0.25">
      <c r="A1" s="4" t="s">
        <v>36</v>
      </c>
      <c r="B1" s="3" t="s">
        <v>37</v>
      </c>
      <c r="C1" s="3" t="s">
        <v>38</v>
      </c>
      <c r="D1" s="3" t="s">
        <v>39</v>
      </c>
      <c r="E1" s="3" t="s">
        <v>40</v>
      </c>
      <c r="F1" s="3" t="s">
        <v>41</v>
      </c>
      <c r="G1" s="3" t="s">
        <v>42</v>
      </c>
      <c r="H1" s="3" t="s">
        <v>43</v>
      </c>
      <c r="I1" s="3" t="s">
        <v>44</v>
      </c>
      <c r="J1" s="3" t="s">
        <v>45</v>
      </c>
      <c r="K1" s="3" t="s">
        <v>46</v>
      </c>
      <c r="L1" s="3" t="s">
        <v>47</v>
      </c>
      <c r="M1" s="3" t="s">
        <v>48</v>
      </c>
      <c r="N1" s="3" t="s">
        <v>49</v>
      </c>
      <c r="O1" s="3" t="s">
        <v>50</v>
      </c>
      <c r="P1" s="3" t="s">
        <v>51</v>
      </c>
      <c r="Q1" s="3" t="s">
        <v>52</v>
      </c>
      <c r="R1" s="3" t="s">
        <v>53</v>
      </c>
      <c r="S1" s="3" t="s">
        <v>54</v>
      </c>
      <c r="T1" s="3" t="s">
        <v>55</v>
      </c>
      <c r="U1" s="3" t="s">
        <v>56</v>
      </c>
      <c r="V1" s="3" t="s">
        <v>57</v>
      </c>
      <c r="W1" s="3" t="s">
        <v>58</v>
      </c>
      <c r="X1" s="3" t="s">
        <v>43</v>
      </c>
      <c r="Y1" s="3" t="s">
        <v>40</v>
      </c>
      <c r="Z1" s="3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637f2b2-c84b-4ba0-b67a-df9a03be6d34" xsi:nil="true"/>
    <lcf76f155ced4ddcb4097134ff3c332f xmlns="a348be1c-5511-4288-88ac-aeef929a1e35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C577462BAD4C4A97B15BF8CA4DF19E" ma:contentTypeVersion="14" ma:contentTypeDescription="Create a new document." ma:contentTypeScope="" ma:versionID="1494c19cd2a7045efe8cbdbe780b439f">
  <xsd:schema xmlns:xsd="http://www.w3.org/2001/XMLSchema" xmlns:xs="http://www.w3.org/2001/XMLSchema" xmlns:p="http://schemas.microsoft.com/office/2006/metadata/properties" xmlns:ns2="a348be1c-5511-4288-88ac-aeef929a1e35" xmlns:ns3="e637f2b2-c84b-4ba0-b67a-df9a03be6d34" targetNamespace="http://schemas.microsoft.com/office/2006/metadata/properties" ma:root="true" ma:fieldsID="3a1349afede5d38ce26ea5d7b173d935" ns2:_="" ns3:_="">
    <xsd:import namespace="a348be1c-5511-4288-88ac-aeef929a1e35"/>
    <xsd:import namespace="e637f2b2-c84b-4ba0-b67a-df9a03be6d3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48be1c-5511-4288-88ac-aeef929a1e3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7bde53e-b0a2-4e98-8550-8a152603f3a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37f2b2-c84b-4ba0-b67a-df9a03be6d3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fe570a9-1e00-4495-8c4a-ffff98ceac3b}" ma:internalName="TaxCatchAll" ma:showField="CatchAllData" ma:web="e637f2b2-c84b-4ba0-b67a-df9a03be6d3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FB79FA9-22DE-4AD3-A3B3-A2D428B16290}">
  <ds:schemaRefs>
    <ds:schemaRef ds:uri="http://schemas.microsoft.com/office/2006/metadata/properties"/>
    <ds:schemaRef ds:uri="http://schemas.microsoft.com/office/infopath/2007/PartnerControls"/>
    <ds:schemaRef ds:uri="e637f2b2-c84b-4ba0-b67a-df9a03be6d34"/>
    <ds:schemaRef ds:uri="a348be1c-5511-4288-88ac-aeef929a1e35"/>
  </ds:schemaRefs>
</ds:datastoreItem>
</file>

<file path=customXml/itemProps2.xml><?xml version="1.0" encoding="utf-8"?>
<ds:datastoreItem xmlns:ds="http://schemas.openxmlformats.org/officeDocument/2006/customXml" ds:itemID="{B3F97F4E-28A0-4C25-A631-CDFCD804E7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48be1c-5511-4288-88ac-aeef929a1e35"/>
    <ds:schemaRef ds:uri="e637f2b2-c84b-4ba0-b67a-df9a03be6d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4B64D19-8EB8-4EF7-8856-D720145FBB5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Masterfile</vt:lpstr>
      <vt:lpstr>KIV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YiRu Lum (MY)</dc:creator>
  <cp:keywords/>
  <dc:description/>
  <cp:lastModifiedBy>YiRu Lum (MY)</cp:lastModifiedBy>
  <cp:revision/>
  <dcterms:created xsi:type="dcterms:W3CDTF">2024-11-26T01:29:37Z</dcterms:created>
  <dcterms:modified xsi:type="dcterms:W3CDTF">2025-11-27T15:43:01Z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0x0101002AC577462BAD4C4A97B15BF8CA4DF19E</vt:lpwstr>
  </property>
  <property fmtid="{D5CDD505-2E9C-101B-9397-08002B2CF9AE}" pid="3" name="MediaServiceImageTags">
    <vt:lpwstr/>
  </property>
</Properties>
</file>