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wcapac.sharepoint.com/teams/MY-INT-TAX-Personal-Tax/Shared Documents/4.0 Ptax Admin/4.5 Team Admin/Automation/Yiru YA 2025/"/>
    </mc:Choice>
  </mc:AlternateContent>
  <xr:revisionPtr revIDLastSave="10" documentId="11_30A7670B40EB5900330D56A7F49B04112BBA2B19" xr6:coauthVersionLast="47" xr6:coauthVersionMax="47" xr10:uidLastSave="{20E1383D-4D49-46D1-8C00-75EFA552D992}"/>
  <bookViews>
    <workbookView xWindow="28710" yWindow="0" windowWidth="9780" windowHeight="10170" activeTab="1" xr2:uid="{00000000-000D-0000-FFFF-FFFF00000000}"/>
  </bookViews>
  <sheets>
    <sheet name="Tax Summary" sheetId="1" r:id="rId1"/>
    <sheet name="Tax Comp" sheetId="2" r:id="rId2"/>
    <sheet name="Data" sheetId="3" r:id="rId3"/>
  </sheets>
  <definedNames>
    <definedName name="_xlnm._FilterDatabase" localSheetId="2" hidden="1">Data!$B$2:$C$14</definedName>
    <definedName name="_xlnm._FilterDatabase" localSheetId="1" hidden="1">'Tax Comp'!$A$13:$E$24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18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C14" i="3" s="1"/>
  <c r="E41" i="1" s="1"/>
  <c r="B7" i="3"/>
  <c r="C6" i="3"/>
  <c r="B6" i="3"/>
  <c r="C5" i="3"/>
  <c r="B5" i="3"/>
  <c r="C4" i="3"/>
  <c r="B4" i="3"/>
  <c r="C3" i="3"/>
  <c r="B3" i="3"/>
  <c r="E25" i="2"/>
  <c r="E29" i="2" s="1"/>
  <c r="AA41" i="1"/>
  <c r="G5" i="1"/>
  <c r="G4" i="1"/>
  <c r="AQ25" i="1" l="1"/>
  <c r="C33" i="2"/>
  <c r="E38" i="2"/>
  <c r="D34" i="2" l="1"/>
  <c r="B71" i="1" s="1"/>
  <c r="E33" i="2"/>
  <c r="C34" i="2"/>
  <c r="E34" i="2" s="1"/>
  <c r="E36" i="2" l="1"/>
  <c r="D21" i="3" l="1"/>
  <c r="AA71" i="1"/>
  <c r="E40" i="2"/>
  <c r="E44" i="2" s="1"/>
  <c r="AC48" i="1" l="1"/>
  <c r="E22" i="3"/>
</calcChain>
</file>

<file path=xl/sharedStrings.xml><?xml version="1.0" encoding="utf-8"?>
<sst xmlns="http://schemas.openxmlformats.org/spreadsheetml/2006/main" count="71" uniqueCount="51">
  <si>
    <t>PricewaterhouseCoopers Taxation Services Sdn Bhd</t>
  </si>
  <si>
    <t xml:space="preserve">Name </t>
  </si>
  <si>
    <t>:</t>
  </si>
  <si>
    <t>Tax Reference Number (IG)</t>
  </si>
  <si>
    <t>Year of Assessment</t>
  </si>
  <si>
    <t>Basis Period</t>
  </si>
  <si>
    <t>Chargeable Income [RM]</t>
  </si>
  <si>
    <t>Total [RM]</t>
  </si>
  <si>
    <t>Balance of Tax Payable / (Tax Paid in Excess) [RM]</t>
  </si>
  <si>
    <t>Tax Payment Due Date</t>
  </si>
  <si>
    <t>Highest Tax Rate</t>
  </si>
  <si>
    <t>Effective Tax Rate</t>
  </si>
  <si>
    <t>INCOME TAX COMPUTATION</t>
  </si>
  <si>
    <t>RM</t>
  </si>
  <si>
    <t>Employment Income</t>
  </si>
  <si>
    <t>Gross salary, wages or leave pay</t>
  </si>
  <si>
    <t>Bonuses / Director fees</t>
  </si>
  <si>
    <t>-</t>
  </si>
  <si>
    <t>Gross tips, perquisites or other allowances</t>
  </si>
  <si>
    <t>Equity income</t>
  </si>
  <si>
    <t>Gratuity</t>
  </si>
  <si>
    <t>Payment in arrears</t>
  </si>
  <si>
    <t>Benefits-in-kind</t>
  </si>
  <si>
    <t>Value of living accommodation</t>
  </si>
  <si>
    <t>Refund from unapproved Pension or Provident Fund</t>
  </si>
  <si>
    <t xml:space="preserve">Compensation for loss of employment </t>
  </si>
  <si>
    <t>Statutory Income from Employment</t>
  </si>
  <si>
    <t>(Less): Total Tax Reliefs</t>
  </si>
  <si>
    <t>Chargeable Income</t>
  </si>
  <si>
    <t>TAX LIABILITY</t>
  </si>
  <si>
    <t>%</t>
  </si>
  <si>
    <t>Tax on the First</t>
  </si>
  <si>
    <t>Tax on the Balance</t>
  </si>
  <si>
    <t>Tax Payable / (Repayable)</t>
  </si>
  <si>
    <t>(Less): Rebate (Restricted)</t>
  </si>
  <si>
    <t>(Less): Zakat</t>
  </si>
  <si>
    <t>(Less): Foreign tax relief claim (bilateral/unilateral)</t>
  </si>
  <si>
    <t>(Less): Tax paid via Monthly Tax Deduction</t>
  </si>
  <si>
    <t>BALANCE OF TAX PAYABLE / (TAX PAID IN EXCESS)</t>
  </si>
  <si>
    <t>Income</t>
  </si>
  <si>
    <t>Amount</t>
  </si>
  <si>
    <t>Relief type</t>
  </si>
  <si>
    <t>Claimed Amount</t>
  </si>
  <si>
    <t>need to key in manually</t>
  </si>
  <si>
    <t>Self relief</t>
  </si>
  <si>
    <t>Tax Category</t>
  </si>
  <si>
    <t>MTD paid</t>
  </si>
  <si>
    <t>Tax Liability</t>
  </si>
  <si>
    <t>Balance of Tax Payable / (Tax Paid in Excess)</t>
  </si>
  <si>
    <t>1 January 2025 - 31 December 2025</t>
  </si>
  <si>
    <t>Tax allowance (YA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</si>
</sst>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??_-;_-@"/>
    <numFmt numFmtId="165" formatCode="[$RM-4409]#,##0.00;[Red][$RM-4409]#,##0.00"/>
    <numFmt numFmtId="166" formatCode="#,##0.00;\(#,##0.00\)"/>
    <numFmt numFmtId="167" formatCode="0_ ;\-0\ "/>
    <numFmt numFmtId="168" formatCode="_-* #,##0_-;\-* #,##0_-;_-* &quot;-&quot;??_-;_-@_-"/>
    <numFmt numFmtId="169" formatCode="_-* #,##0.00_-;\-* #,##0.00_-;_-* &quot;-&quot;??_-;_-@_-"/>
    <numFmt numFmtId="170" formatCode="0.0%"/>
    <numFmt numFmtId="171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theme="1"/>
      <name val="Georgia"/>
      <family val="1"/>
    </font>
    <font>
      <u/>
      <sz val="11"/>
      <color theme="1"/>
      <name val="Georgia"/>
      <family val="1"/>
    </font>
    <font>
      <b/>
      <sz val="10"/>
      <color rgb="FF000000"/>
      <name val="Aptos Narrow"/>
      <family val="2"/>
      <scheme val="minor"/>
    </font>
    <font>
      <b/>
      <sz val="16"/>
      <color theme="1"/>
      <name val="Georgia"/>
      <family val="1"/>
    </font>
    <font>
      <b/>
      <sz val="18"/>
      <color theme="1"/>
      <name val="Georgia"/>
      <family val="1"/>
    </font>
    <font>
      <b/>
      <sz val="36"/>
      <color theme="1"/>
      <name val="Georgia"/>
      <family val="1"/>
    </font>
    <font>
      <b/>
      <sz val="42"/>
      <color theme="1"/>
      <name val="Georgia"/>
      <family val="1"/>
    </font>
    <font>
      <sz val="44"/>
      <color theme="1"/>
      <name val="Georgia"/>
      <family val="1"/>
    </font>
    <font>
      <sz val="42"/>
      <color theme="1"/>
      <name val="Georgia"/>
      <family val="1"/>
    </font>
    <font>
      <sz val="10"/>
      <color rgb="FFFF0000"/>
      <name val="Aptos Narrow"/>
      <family val="2"/>
      <scheme val="minor"/>
    </font>
    <font>
      <b/>
      <sz val="14"/>
      <color theme="1"/>
      <name val="Georgia"/>
      <family val="1"/>
    </font>
    <font>
      <sz val="14"/>
      <color rgb="FF000000"/>
      <name val="Aptos Narrow"/>
      <family val="2"/>
      <scheme val="minor"/>
    </font>
    <font>
      <sz val="14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/>
    <xf numFmtId="9" fontId="1" fillId="0" borderId="0"/>
    <xf numFmtId="0" fontId="2" fillId="0" borderId="0"/>
    <xf numFmtId="43" fontId="2" fillId="0" borderId="0"/>
  </cellStyleXfs>
  <cellXfs count="82">
    <xf numFmtId="0" fontId="0" fillId="0" borderId="0" xfId="0"/>
    <xf numFmtId="0" fontId="3" fillId="0" borderId="0" xfId="3" applyFont="1"/>
    <xf numFmtId="0" fontId="3" fillId="0" borderId="0" xfId="3" applyFont="1" applyAlignment="1">
      <alignment horizontal="right"/>
    </xf>
    <xf numFmtId="0" fontId="2" fillId="0" borderId="0" xfId="3"/>
    <xf numFmtId="0" fontId="3" fillId="0" borderId="0" xfId="3" applyFont="1" applyAlignment="1">
      <alignment horizontal="right" vertical="top"/>
    </xf>
    <xf numFmtId="0" fontId="3" fillId="0" borderId="0" xfId="3" applyFont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0" fontId="3" fillId="0" borderId="0" xfId="3" applyFont="1" applyAlignment="1">
      <alignment horizontal="left" vertical="center"/>
    </xf>
    <xf numFmtId="164" fontId="3" fillId="0" borderId="0" xfId="3" applyNumberFormat="1" applyFont="1" applyAlignment="1">
      <alignment vertical="center"/>
    </xf>
    <xf numFmtId="164" fontId="3" fillId="0" borderId="0" xfId="3" applyNumberFormat="1" applyFont="1" applyAlignment="1">
      <alignment horizontal="right" vertical="center"/>
    </xf>
    <xf numFmtId="0" fontId="3" fillId="0" borderId="0" xfId="3" applyFont="1" applyAlignment="1">
      <alignment horizontal="left"/>
    </xf>
    <xf numFmtId="164" fontId="4" fillId="0" borderId="0" xfId="3" applyNumberFormat="1" applyFont="1" applyAlignment="1">
      <alignment horizontal="center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3" fillId="0" borderId="0" xfId="3" applyFont="1" applyAlignment="1">
      <alignment horizontal="left" vertical="center" wrapText="1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164" fontId="4" fillId="0" borderId="0" xfId="3" applyNumberFormat="1" applyFont="1" applyAlignment="1">
      <alignment vertical="center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horizontal="right" vertical="center" wrapText="1"/>
    </xf>
    <xf numFmtId="164" fontId="3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center" vertical="center"/>
    </xf>
    <xf numFmtId="39" fontId="3" fillId="0" borderId="0" xfId="3" applyNumberFormat="1" applyFont="1" applyAlignment="1">
      <alignment horizontal="right" vertical="center" wrapText="1"/>
    </xf>
    <xf numFmtId="9" fontId="3" fillId="0" borderId="0" xfId="3" applyNumberFormat="1" applyFont="1" applyAlignment="1">
      <alignment horizontal="center" vertical="center"/>
    </xf>
    <xf numFmtId="39" fontId="4" fillId="0" borderId="2" xfId="3" applyNumberFormat="1" applyFont="1" applyBorder="1" applyAlignment="1">
      <alignment horizontal="right" vertical="center"/>
    </xf>
    <xf numFmtId="39" fontId="3" fillId="0" borderId="0" xfId="3" applyNumberFormat="1" applyFont="1" applyAlignment="1">
      <alignment vertical="center"/>
    </xf>
    <xf numFmtId="39" fontId="3" fillId="0" borderId="0" xfId="3" applyNumberFormat="1" applyFont="1" applyAlignment="1">
      <alignment horizontal="right" vertical="center"/>
    </xf>
    <xf numFmtId="39" fontId="3" fillId="0" borderId="1" xfId="3" applyNumberFormat="1" applyFont="1" applyBorder="1" applyAlignment="1">
      <alignment horizontal="right" vertical="center"/>
    </xf>
    <xf numFmtId="165" fontId="3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6" fontId="3" fillId="0" borderId="0" xfId="3" applyNumberFormat="1" applyFont="1" applyAlignment="1">
      <alignment horizontal="right" vertical="center"/>
    </xf>
    <xf numFmtId="14" fontId="3" fillId="0" borderId="0" xfId="3" applyNumberFormat="1" applyFont="1" applyAlignment="1">
      <alignment vertical="center"/>
    </xf>
    <xf numFmtId="167" fontId="3" fillId="0" borderId="0" xfId="3" applyNumberFormat="1" applyFont="1" applyAlignment="1">
      <alignment horizontal="center" vertical="center"/>
    </xf>
    <xf numFmtId="0" fontId="7" fillId="0" borderId="0" xfId="3" applyFont="1"/>
    <xf numFmtId="0" fontId="7" fillId="3" borderId="0" xfId="3" applyFont="1" applyFill="1"/>
    <xf numFmtId="0" fontId="7" fillId="3" borderId="0" xfId="3" applyFont="1" applyFill="1" applyAlignment="1">
      <alignment wrapText="1"/>
    </xf>
    <xf numFmtId="168" fontId="0" fillId="0" borderId="0" xfId="4" applyNumberFormat="1" applyFont="1"/>
    <xf numFmtId="0" fontId="2" fillId="3" borderId="0" xfId="3" applyFill="1"/>
    <xf numFmtId="0" fontId="2" fillId="3" borderId="0" xfId="3" applyFill="1" applyAlignment="1">
      <alignment wrapText="1"/>
    </xf>
    <xf numFmtId="168" fontId="2" fillId="0" borderId="0" xfId="3" applyNumberFormat="1"/>
    <xf numFmtId="169" fontId="0" fillId="3" borderId="0" xfId="4" applyNumberFormat="1" applyFont="1" applyFill="1"/>
    <xf numFmtId="169" fontId="0" fillId="0" borderId="0" xfId="4" applyNumberFormat="1" applyFont="1"/>
    <xf numFmtId="0" fontId="3" fillId="0" borderId="0" xfId="0" applyFont="1"/>
    <xf numFmtId="166" fontId="4" fillId="0" borderId="3" xfId="3" applyNumberFormat="1" applyFont="1" applyBorder="1" applyAlignment="1">
      <alignment horizontal="right" vertical="center"/>
    </xf>
    <xf numFmtId="0" fontId="14" fillId="0" borderId="0" xfId="3" applyFont="1"/>
    <xf numFmtId="164" fontId="3" fillId="0" borderId="1" xfId="3" applyNumberFormat="1" applyFont="1" applyBorder="1" applyAlignment="1">
      <alignment horizontal="right" vertical="center"/>
    </xf>
    <xf numFmtId="164" fontId="4" fillId="0" borderId="2" xfId="3" applyNumberFormat="1" applyFont="1" applyBorder="1" applyAlignment="1">
      <alignment horizontal="right" vertical="center"/>
    </xf>
    <xf numFmtId="164" fontId="4" fillId="0" borderId="3" xfId="3" applyNumberFormat="1" applyFont="1" applyBorder="1" applyAlignment="1">
      <alignment horizontal="right" vertical="center"/>
    </xf>
    <xf numFmtId="39" fontId="2" fillId="0" borderId="0" xfId="3" applyNumberFormat="1"/>
    <xf numFmtId="0" fontId="15" fillId="0" borderId="0" xfId="3" applyFont="1" applyAlignment="1">
      <alignment vertical="top"/>
    </xf>
    <xf numFmtId="0" fontId="16" fillId="0" borderId="0" xfId="3" applyFont="1"/>
    <xf numFmtId="0" fontId="17" fillId="0" borderId="0" xfId="0" applyFont="1"/>
    <xf numFmtId="0" fontId="17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horizontal="left"/>
    </xf>
    <xf numFmtId="0" fontId="7" fillId="0" borderId="0" xfId="0" applyFont="1"/>
    <xf numFmtId="0" fontId="10" fillId="4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13" fillId="0" borderId="11" xfId="0" applyNumberFormat="1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1" fontId="11" fillId="5" borderId="11" xfId="0" applyNumberFormat="1" applyFont="1" applyFill="1" applyBorder="1" applyAlignment="1">
      <alignment horizontal="center" vertical="center"/>
    </xf>
    <xf numFmtId="170" fontId="12" fillId="0" borderId="11" xfId="2" applyNumberFormat="1" applyFont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166" fontId="11" fillId="5" borderId="11" xfId="0" applyNumberFormat="1" applyFont="1" applyFill="1" applyBorder="1" applyAlignment="1">
      <alignment horizontal="center" vertical="center"/>
    </xf>
    <xf numFmtId="2" fontId="10" fillId="5" borderId="11" xfId="1" applyNumberFormat="1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left" vertical="center"/>
    </xf>
    <xf numFmtId="166" fontId="9" fillId="0" borderId="12" xfId="0" applyNumberFormat="1" applyFont="1" applyBorder="1" applyAlignment="1">
      <alignment horizontal="left" vertical="center"/>
    </xf>
    <xf numFmtId="0" fontId="3" fillId="0" borderId="0" xfId="3" applyFont="1" applyAlignment="1">
      <alignment horizontal="left" vertical="center" wrapText="1"/>
    </xf>
    <xf numFmtId="0" fontId="2" fillId="0" borderId="0" xfId="3"/>
    <xf numFmtId="0" fontId="4" fillId="2" borderId="0" xfId="3" applyFont="1" applyFill="1" applyAlignment="1">
      <alignment horizontal="left" vertical="center" wrapText="1"/>
    </xf>
    <xf numFmtId="0" fontId="4" fillId="0" borderId="0" xfId="3" applyFont="1" applyAlignment="1">
      <alignment horizontal="left" vertical="top"/>
    </xf>
  </cellXfs>
  <cellStyles count="5">
    <cellStyle name="Comma" xfId="1" builtinId="3"/>
    <cellStyle name="Comma 2" xfId="4" xr:uid="{00000000-0005-0000-0000-000004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Total Employment Income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AE-4029-9F66-9B7E1396E3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AE-4029-9F66-9B7E1396E3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AE-4029-9F66-9B7E1396E3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AE-4029-9F66-9B7E1396E3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DAE-4029-9F66-9B7E1396E3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DAE-4029-9F66-9B7E1396E3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DAE-4029-9F66-9B7E1396E3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DAE-4029-9F66-9B7E1396E3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DAE-4029-9F66-9B7E1396E3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DAE-4029-9F66-9B7E1396E3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DAE-4029-9F66-9B7E1396E30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strike="noStrike" kern="1200" baseline="0">
                    <a:solidFill>
                      <a:schemeClr val="tx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Data!$B$3:$B$13</c:f>
              <c:strCache>
                <c:ptCount val="5"/>
                <c:pt idx="0">
                  <c:v>Gross salary, wages or leave pay</c:v>
                </c:pt>
                <c:pt idx="1">
                  <c:v>Gross tips, perquisites or other allowances</c:v>
                </c:pt>
                <c:pt idx="2">
                  <c:v>Tax allowance (YA 2024)</c:v>
                </c:pt>
                <c:pt idx="3">
                  <c:v>Benefits-in-kind</c:v>
                </c:pt>
                <c:pt idx="4">
                  <c:v>Value of living accommodation</c:v>
                </c:pt>
              </c:strCache>
            </c:strRef>
          </c:cat>
          <c:val>
            <c:numRef>
              <c:f>Data!$C$3:$C$13</c:f>
              <c:numCache>
                <c:formatCode>_-* #,##0_-;\-* #,##0_-;_-* "-"??_-;_-@_-</c:formatCode>
                <c:ptCount val="5"/>
                <c:pt idx="0">
                  <c:v>518811.03</c:v>
                </c:pt>
                <c:pt idx="1">
                  <c:v>133.87</c:v>
                </c:pt>
                <c:pt idx="2">
                  <c:v>165749</c:v>
                </c:pt>
                <c:pt idx="3">
                  <c:v>19438.98</c:v>
                </c:pt>
                <c:pt idx="4">
                  <c:v>14112.41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DAE-4029-9F66-9B7E1396E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Tax Reliefs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Data!$C$16</c:f>
              <c:strCache>
                <c:ptCount val="1"/>
                <c:pt idx="0">
                  <c:v>Claimed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Data!$B$17:$B$17</c:f>
              <c:strCache>
                <c:ptCount val="1"/>
                <c:pt idx="0">
                  <c:v>Self relief</c:v>
                </c:pt>
              </c:strCache>
            </c:strRef>
          </c:cat>
          <c:val>
            <c:numRef>
              <c:f>Data!$C$17:$C$17</c:f>
              <c:numCache>
                <c:formatCode>General</c:formatCode>
                <c:ptCount val="1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1-4C15-A598-C027202A1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706264"/>
        <c:axId val="915707704"/>
      </c:barChart>
      <c:catAx>
        <c:axId val="91570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707704"/>
        <c:crosses val="autoZero"/>
        <c:auto val="1"/>
        <c:lblAlgn val="ctr"/>
        <c:lblOffset val="100"/>
        <c:noMultiLvlLbl val="0"/>
      </c:catAx>
      <c:valAx>
        <c:axId val="91570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706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>
                <a:latin typeface="Georgia" panose="02040502050405020303" pitchFamily="18" charset="0"/>
              </a:rPr>
              <a:t>Tax Liability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Data!$C$20</c:f>
              <c:strCache>
                <c:ptCount val="1"/>
                <c:pt idx="0">
                  <c:v>MTD paid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Data!$B$21:$B$22</c:f>
              <c:numCache>
                <c:formatCode>General</c:formatCode>
                <c:ptCount val="2"/>
              </c:numCache>
            </c:numRef>
          </c:cat>
          <c:val>
            <c:numRef>
              <c:f>Data!$C$21:$C$22</c:f>
              <c:numCache>
                <c:formatCode>_-* #,##0_-;\-* #,##0_-;_-* "-"??_-;_-@_-</c:formatCode>
                <c:ptCount val="2"/>
                <c:pt idx="1">
                  <c:v>-166988.70000000001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F-42F0-A15D-97B0E0AFA68F}"/>
            </c:ext>
          </c:extLst>
        </c:ser>
        <c:ser>
          <c:idx val="1"/>
          <c:order val="1"/>
          <c:tx>
            <c:strRef>
              <c:f>Data!$D$20</c:f>
              <c:strCache>
                <c:ptCount val="1"/>
                <c:pt idx="0">
                  <c:v>Tax Liability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Data!$B$21:$B$22</c:f>
              <c:numCache>
                <c:formatCode>General</c:formatCode>
                <c:ptCount val="2"/>
              </c:numCache>
            </c:numRef>
          </c:cat>
          <c:val>
            <c:numRef>
              <c:f>Data!$D$21:$D$22</c:f>
              <c:numCache>
                <c:formatCode>General</c:formatCode>
                <c:ptCount val="2"/>
                <c:pt idx="0" formatCode="#,##0.00_);\(#,##0.00\)">
                  <c:v>166988.6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F-42F0-A15D-97B0E0AFA68F}"/>
            </c:ext>
          </c:extLst>
        </c:ser>
        <c:ser>
          <c:idx val="2"/>
          <c:order val="2"/>
          <c:tx>
            <c:strRef>
              <c:f>Data!$E$20</c:f>
              <c:strCache>
                <c:ptCount val="1"/>
                <c:pt idx="0">
                  <c:v>Balance of Tax Payable / (Tax Paid in Excess)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Data!$B$21:$B$22</c:f>
              <c:numCache>
                <c:formatCode>General</c:formatCode>
                <c:ptCount val="2"/>
              </c:numCache>
            </c:numRef>
          </c:cat>
          <c:val>
            <c:numRef>
              <c:f>Data!$E$21:$E$22</c:f>
              <c:numCache>
                <c:formatCode>_-* #,##0_-;\-* #,##0_-;_-* "-"??_-;_-@_-</c:formatCode>
                <c:ptCount val="2"/>
                <c:pt idx="1">
                  <c:v>-0.10000000000582077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F-42F0-A15D-97B0E0AF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619064"/>
        <c:axId val="915622304"/>
      </c:barChart>
      <c:catAx>
        <c:axId val="915619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622304"/>
        <c:crosses val="autoZero"/>
        <c:auto val="1"/>
        <c:lblAlgn val="ctr"/>
        <c:lblOffset val="100"/>
        <c:noMultiLvlLbl val="0"/>
      </c:catAx>
      <c:valAx>
        <c:axId val="91562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9156190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2291</xdr:colOff>
      <xdr:row>8</xdr:row>
      <xdr:rowOff>5986</xdr:rowOff>
    </xdr:from>
    <xdr:to>
      <xdr:col>23</xdr:col>
      <xdr:colOff>4011</xdr:colOff>
      <xdr:row>40</xdr:row>
      <xdr:rowOff>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-1</xdr:colOff>
      <xdr:row>7</xdr:row>
      <xdr:rowOff>185056</xdr:rowOff>
    </xdr:from>
    <xdr:to>
      <xdr:col>42</xdr:col>
      <xdr:colOff>0</xdr:colOff>
      <xdr:row>39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27</xdr:col>
      <xdr:colOff>595746</xdr:colOff>
      <xdr:row>65</xdr:row>
      <xdr:rowOff>17929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wC">
      <a:dk1>
        <a:srgbClr val="000000"/>
      </a:dk1>
      <a:lt1>
        <a:srgbClr val="FFFFFF"/>
      </a:lt1>
      <a:dk2>
        <a:srgbClr val="A32020"/>
      </a:dk2>
      <a:lt2>
        <a:srgbClr val="DEDEDE"/>
      </a:lt2>
      <a:accent1>
        <a:srgbClr val="A32020"/>
      </a:accent1>
      <a:accent2>
        <a:srgbClr val="DB536A"/>
      </a:accent2>
      <a:accent3>
        <a:srgbClr val="000000"/>
      </a:accent3>
      <a:accent4>
        <a:srgbClr val="464646"/>
      </a:accent4>
      <a:accent5>
        <a:srgbClr val="7D7D7D"/>
      </a:accent5>
      <a:accent6>
        <a:srgbClr val="DEDEDE"/>
      </a:accent6>
      <a:hlink>
        <a:srgbClr val="A32020"/>
      </a:hlink>
      <a:folHlink>
        <a:srgbClr val="A3202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W77"/>
  <sheetViews>
    <sheetView zoomScale="55" zoomScaleNormal="55" workbookViewId="0">
      <selection activeCell="G6" sqref="G6:G7"/>
    </sheetView>
  </sheetViews>
  <sheetFormatPr defaultColWidth="8.88671875" defaultRowHeight="13.8" x14ac:dyDescent="0.25"/>
  <cols>
    <col min="1" max="1" width="2.5546875" style="44" customWidth="1"/>
    <col min="2" max="2" width="8.88671875" style="44" customWidth="1"/>
    <col min="3" max="16384" width="8.88671875" style="44"/>
  </cols>
  <sheetData>
    <row r="2" spans="2:49" ht="18" customHeight="1" x14ac:dyDescent="0.35">
      <c r="B2" s="51" t="s">
        <v>0</v>
      </c>
      <c r="C2" s="52"/>
      <c r="D2" s="52"/>
      <c r="E2" s="52"/>
      <c r="F2" s="53"/>
      <c r="G2" s="53"/>
    </row>
    <row r="3" spans="2:49" ht="18" customHeight="1" x14ac:dyDescent="0.35">
      <c r="B3" s="54"/>
      <c r="C3" s="54"/>
      <c r="D3" s="55"/>
      <c r="E3" s="54"/>
      <c r="F3" s="53"/>
      <c r="G3" s="53"/>
    </row>
    <row r="4" spans="2:49" ht="18" customHeight="1" x14ac:dyDescent="0.35">
      <c r="B4" s="54" t="s">
        <v>1</v>
      </c>
      <c r="C4" s="53"/>
      <c r="D4" s="53"/>
      <c r="E4" s="53"/>
      <c r="F4" s="54" t="s">
        <v>2</v>
      </c>
      <c r="G4" s="56">
        <f>'Tax Comp'!C4</f>
        <v>0</v>
      </c>
    </row>
    <row r="5" spans="2:49" ht="18" customHeight="1" x14ac:dyDescent="0.35">
      <c r="B5" s="54" t="s">
        <v>3</v>
      </c>
      <c r="C5" s="53"/>
      <c r="D5" s="53"/>
      <c r="E5" s="53"/>
      <c r="F5" s="54" t="s">
        <v>2</v>
      </c>
      <c r="G5" s="57">
        <f>'Tax Comp'!C5</f>
        <v>0</v>
      </c>
    </row>
    <row r="6" spans="2:49" ht="18" customHeight="1" x14ac:dyDescent="0.35">
      <c r="B6" s="54" t="s">
        <v>4</v>
      </c>
      <c r="C6" s="53"/>
      <c r="D6" s="53"/>
      <c r="E6" s="53"/>
      <c r="F6" s="54" t="s">
        <v>2</v>
      </c>
      <c r="G6" s="56">
        <v>2025</v>
      </c>
    </row>
    <row r="7" spans="2:49" ht="18" customHeight="1" x14ac:dyDescent="0.35">
      <c r="B7" s="54" t="s">
        <v>5</v>
      </c>
      <c r="C7" s="53"/>
      <c r="D7" s="53"/>
      <c r="E7" s="53"/>
      <c r="F7" s="54" t="s">
        <v>2</v>
      </c>
      <c r="G7" s="56" t="s">
        <v>49</v>
      </c>
    </row>
    <row r="8" spans="2:49" ht="14.4" customHeight="1" thickBot="1" x14ac:dyDescent="0.3"/>
    <row r="9" spans="2:49" x14ac:dyDescent="0.25">
      <c r="AQ9" s="59" t="s">
        <v>6</v>
      </c>
      <c r="AR9" s="60"/>
      <c r="AS9" s="60"/>
      <c r="AT9" s="60"/>
      <c r="AU9" s="60"/>
      <c r="AV9" s="60"/>
      <c r="AW9" s="61"/>
    </row>
    <row r="10" spans="2:49" x14ac:dyDescent="0.25">
      <c r="AQ10" s="62"/>
      <c r="AR10" s="63"/>
      <c r="AS10" s="63"/>
      <c r="AT10" s="63"/>
      <c r="AU10" s="63"/>
      <c r="AV10" s="63"/>
      <c r="AW10" s="64"/>
    </row>
    <row r="11" spans="2:49" x14ac:dyDescent="0.25">
      <c r="AQ11" s="62"/>
      <c r="AR11" s="63"/>
      <c r="AS11" s="63"/>
      <c r="AT11" s="63"/>
      <c r="AU11" s="63"/>
      <c r="AV11" s="63"/>
      <c r="AW11" s="64"/>
    </row>
    <row r="12" spans="2:49" x14ac:dyDescent="0.25">
      <c r="AQ12" s="62"/>
      <c r="AR12" s="63"/>
      <c r="AS12" s="63"/>
      <c r="AT12" s="63"/>
      <c r="AU12" s="63"/>
      <c r="AV12" s="63"/>
      <c r="AW12" s="64"/>
    </row>
    <row r="13" spans="2:49" x14ac:dyDescent="0.25">
      <c r="AQ13" s="62"/>
      <c r="AR13" s="63"/>
      <c r="AS13" s="63"/>
      <c r="AT13" s="63"/>
      <c r="AU13" s="63"/>
      <c r="AV13" s="63"/>
      <c r="AW13" s="64"/>
    </row>
    <row r="14" spans="2:49" x14ac:dyDescent="0.25">
      <c r="AQ14" s="62"/>
      <c r="AR14" s="63"/>
      <c r="AS14" s="63"/>
      <c r="AT14" s="63"/>
      <c r="AU14" s="63"/>
      <c r="AV14" s="63"/>
      <c r="AW14" s="64"/>
    </row>
    <row r="15" spans="2:49" x14ac:dyDescent="0.25">
      <c r="AQ15" s="62"/>
      <c r="AR15" s="63"/>
      <c r="AS15" s="63"/>
      <c r="AT15" s="63"/>
      <c r="AU15" s="63"/>
      <c r="AV15" s="63"/>
      <c r="AW15" s="64"/>
    </row>
    <row r="16" spans="2:49" x14ac:dyDescent="0.25">
      <c r="AQ16" s="62"/>
      <c r="AR16" s="63"/>
      <c r="AS16" s="63"/>
      <c r="AT16" s="63"/>
      <c r="AU16" s="63"/>
      <c r="AV16" s="63"/>
      <c r="AW16" s="64"/>
    </row>
    <row r="17" spans="43:49" x14ac:dyDescent="0.25">
      <c r="AQ17" s="62"/>
      <c r="AR17" s="63"/>
      <c r="AS17" s="63"/>
      <c r="AT17" s="63"/>
      <c r="AU17" s="63"/>
      <c r="AV17" s="63"/>
      <c r="AW17" s="64"/>
    </row>
    <row r="18" spans="43:49" x14ac:dyDescent="0.25">
      <c r="AQ18" s="62"/>
      <c r="AR18" s="63"/>
      <c r="AS18" s="63"/>
      <c r="AT18" s="63"/>
      <c r="AU18" s="63"/>
      <c r="AV18" s="63"/>
      <c r="AW18" s="64"/>
    </row>
    <row r="19" spans="43:49" x14ac:dyDescent="0.25">
      <c r="AQ19" s="62"/>
      <c r="AR19" s="63"/>
      <c r="AS19" s="63"/>
      <c r="AT19" s="63"/>
      <c r="AU19" s="63"/>
      <c r="AV19" s="63"/>
      <c r="AW19" s="64"/>
    </row>
    <row r="20" spans="43:49" x14ac:dyDescent="0.25">
      <c r="AQ20" s="62"/>
      <c r="AR20" s="63"/>
      <c r="AS20" s="63"/>
      <c r="AT20" s="63"/>
      <c r="AU20" s="63"/>
      <c r="AV20" s="63"/>
      <c r="AW20" s="64"/>
    </row>
    <row r="21" spans="43:49" x14ac:dyDescent="0.25">
      <c r="AQ21" s="62"/>
      <c r="AR21" s="63"/>
      <c r="AS21" s="63"/>
      <c r="AT21" s="63"/>
      <c r="AU21" s="63"/>
      <c r="AV21" s="63"/>
      <c r="AW21" s="64"/>
    </row>
    <row r="22" spans="43:49" x14ac:dyDescent="0.25">
      <c r="AQ22" s="62"/>
      <c r="AR22" s="63"/>
      <c r="AS22" s="63"/>
      <c r="AT22" s="63"/>
      <c r="AU22" s="63"/>
      <c r="AV22" s="63"/>
      <c r="AW22" s="64"/>
    </row>
    <row r="23" spans="43:49" x14ac:dyDescent="0.25">
      <c r="AQ23" s="62"/>
      <c r="AR23" s="63"/>
      <c r="AS23" s="63"/>
      <c r="AT23" s="63"/>
      <c r="AU23" s="63"/>
      <c r="AV23" s="63"/>
      <c r="AW23" s="64"/>
    </row>
    <row r="24" spans="43:49" ht="14.4" customHeight="1" thickBot="1" x14ac:dyDescent="0.3">
      <c r="AQ24" s="65"/>
      <c r="AR24" s="66"/>
      <c r="AS24" s="66"/>
      <c r="AT24" s="66"/>
      <c r="AU24" s="66"/>
      <c r="AV24" s="66"/>
      <c r="AW24" s="67"/>
    </row>
    <row r="25" spans="43:49" ht="13.95" customHeight="1" x14ac:dyDescent="0.25">
      <c r="AQ25" s="75">
        <f>'Tax Comp'!E29</f>
        <v>709245.29</v>
      </c>
      <c r="AR25" s="60"/>
      <c r="AS25" s="60"/>
      <c r="AT25" s="60"/>
      <c r="AU25" s="60"/>
      <c r="AV25" s="60"/>
      <c r="AW25" s="61"/>
    </row>
    <row r="26" spans="43:49" ht="13.95" customHeight="1" x14ac:dyDescent="0.25">
      <c r="AQ26" s="62"/>
      <c r="AR26" s="63"/>
      <c r="AS26" s="63"/>
      <c r="AT26" s="63"/>
      <c r="AU26" s="63"/>
      <c r="AV26" s="63"/>
      <c r="AW26" s="64"/>
    </row>
    <row r="27" spans="43:49" ht="13.95" customHeight="1" x14ac:dyDescent="0.25">
      <c r="AQ27" s="62"/>
      <c r="AR27" s="63"/>
      <c r="AS27" s="63"/>
      <c r="AT27" s="63"/>
      <c r="AU27" s="63"/>
      <c r="AV27" s="63"/>
      <c r="AW27" s="64"/>
    </row>
    <row r="28" spans="43:49" ht="13.95" customHeight="1" x14ac:dyDescent="0.25">
      <c r="AQ28" s="62"/>
      <c r="AR28" s="63"/>
      <c r="AS28" s="63"/>
      <c r="AT28" s="63"/>
      <c r="AU28" s="63"/>
      <c r="AV28" s="63"/>
      <c r="AW28" s="64"/>
    </row>
    <row r="29" spans="43:49" ht="13.95" customHeight="1" x14ac:dyDescent="0.25">
      <c r="AQ29" s="62"/>
      <c r="AR29" s="63"/>
      <c r="AS29" s="63"/>
      <c r="AT29" s="63"/>
      <c r="AU29" s="63"/>
      <c r="AV29" s="63"/>
      <c r="AW29" s="64"/>
    </row>
    <row r="30" spans="43:49" ht="13.95" customHeight="1" x14ac:dyDescent="0.25">
      <c r="AQ30" s="62"/>
      <c r="AR30" s="63"/>
      <c r="AS30" s="63"/>
      <c r="AT30" s="63"/>
      <c r="AU30" s="63"/>
      <c r="AV30" s="63"/>
      <c r="AW30" s="64"/>
    </row>
    <row r="31" spans="43:49" ht="13.95" customHeight="1" x14ac:dyDescent="0.25">
      <c r="AQ31" s="62"/>
      <c r="AR31" s="63"/>
      <c r="AS31" s="63"/>
      <c r="AT31" s="63"/>
      <c r="AU31" s="63"/>
      <c r="AV31" s="63"/>
      <c r="AW31" s="64"/>
    </row>
    <row r="32" spans="43:49" ht="13.95" customHeight="1" x14ac:dyDescent="0.25">
      <c r="AQ32" s="62"/>
      <c r="AR32" s="63"/>
      <c r="AS32" s="63"/>
      <c r="AT32" s="63"/>
      <c r="AU32" s="63"/>
      <c r="AV32" s="63"/>
      <c r="AW32" s="64"/>
    </row>
    <row r="33" spans="2:49" ht="13.95" customHeight="1" x14ac:dyDescent="0.25">
      <c r="AQ33" s="62"/>
      <c r="AR33" s="63"/>
      <c r="AS33" s="63"/>
      <c r="AT33" s="63"/>
      <c r="AU33" s="63"/>
      <c r="AV33" s="63"/>
      <c r="AW33" s="64"/>
    </row>
    <row r="34" spans="2:49" ht="13.95" customHeight="1" x14ac:dyDescent="0.25">
      <c r="AQ34" s="62"/>
      <c r="AR34" s="63"/>
      <c r="AS34" s="63"/>
      <c r="AT34" s="63"/>
      <c r="AU34" s="63"/>
      <c r="AV34" s="63"/>
      <c r="AW34" s="64"/>
    </row>
    <row r="35" spans="2:49" ht="13.95" customHeight="1" x14ac:dyDescent="0.25">
      <c r="AQ35" s="62"/>
      <c r="AR35" s="63"/>
      <c r="AS35" s="63"/>
      <c r="AT35" s="63"/>
      <c r="AU35" s="63"/>
      <c r="AV35" s="63"/>
      <c r="AW35" s="64"/>
    </row>
    <row r="36" spans="2:49" ht="13.95" customHeight="1" x14ac:dyDescent="0.25">
      <c r="AQ36" s="62"/>
      <c r="AR36" s="63"/>
      <c r="AS36" s="63"/>
      <c r="AT36" s="63"/>
      <c r="AU36" s="63"/>
      <c r="AV36" s="63"/>
      <c r="AW36" s="64"/>
    </row>
    <row r="37" spans="2:49" ht="13.95" customHeight="1" x14ac:dyDescent="0.25">
      <c r="AQ37" s="62"/>
      <c r="AR37" s="63"/>
      <c r="AS37" s="63"/>
      <c r="AT37" s="63"/>
      <c r="AU37" s="63"/>
      <c r="AV37" s="63"/>
      <c r="AW37" s="64"/>
    </row>
    <row r="38" spans="2:49" ht="13.95" customHeight="1" x14ac:dyDescent="0.25">
      <c r="AQ38" s="62"/>
      <c r="AR38" s="63"/>
      <c r="AS38" s="63"/>
      <c r="AT38" s="63"/>
      <c r="AU38" s="63"/>
      <c r="AV38" s="63"/>
      <c r="AW38" s="64"/>
    </row>
    <row r="39" spans="2:49" ht="13.95" customHeight="1" x14ac:dyDescent="0.25">
      <c r="AQ39" s="62"/>
      <c r="AR39" s="63"/>
      <c r="AS39" s="63"/>
      <c r="AT39" s="63"/>
      <c r="AU39" s="63"/>
      <c r="AV39" s="63"/>
      <c r="AW39" s="64"/>
    </row>
    <row r="40" spans="2:49" ht="13.95" customHeight="1" thickBot="1" x14ac:dyDescent="0.3">
      <c r="AQ40" s="62"/>
      <c r="AR40" s="63"/>
      <c r="AS40" s="63"/>
      <c r="AT40" s="63"/>
      <c r="AU40" s="63"/>
      <c r="AV40" s="63"/>
      <c r="AW40" s="64"/>
    </row>
    <row r="41" spans="2:49" ht="14.4" customHeight="1" x14ac:dyDescent="0.25">
      <c r="B41" s="70" t="s">
        <v>7</v>
      </c>
      <c r="C41" s="60"/>
      <c r="D41" s="61"/>
      <c r="E41" s="76">
        <f>Data!C14</f>
        <v>718245.29</v>
      </c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1"/>
      <c r="X41" s="70" t="s">
        <v>7</v>
      </c>
      <c r="Y41" s="60"/>
      <c r="Z41" s="61"/>
      <c r="AA41" s="77">
        <f>Data!C18</f>
        <v>9000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2"/>
      <c r="AR41" s="63"/>
      <c r="AS41" s="63"/>
      <c r="AT41" s="63"/>
      <c r="AU41" s="63"/>
      <c r="AV41" s="63"/>
      <c r="AW41" s="64"/>
    </row>
    <row r="42" spans="2:49" ht="14.4" customHeight="1" thickBot="1" x14ac:dyDescent="0.3">
      <c r="B42" s="65"/>
      <c r="C42" s="66"/>
      <c r="D42" s="67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7"/>
      <c r="X42" s="65"/>
      <c r="Y42" s="66"/>
      <c r="Z42" s="67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5"/>
      <c r="AR42" s="66"/>
      <c r="AS42" s="66"/>
      <c r="AT42" s="66"/>
      <c r="AU42" s="66"/>
      <c r="AV42" s="66"/>
      <c r="AW42" s="67"/>
    </row>
    <row r="43" spans="2:49" x14ac:dyDescent="0.25">
      <c r="AC43" s="73" t="s">
        <v>8</v>
      </c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4"/>
    </row>
    <row r="44" spans="2:49" x14ac:dyDescent="0.25">
      <c r="AC44" s="62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4"/>
    </row>
    <row r="45" spans="2:49" x14ac:dyDescent="0.25">
      <c r="AC45" s="62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4"/>
    </row>
    <row r="46" spans="2:49" x14ac:dyDescent="0.25">
      <c r="AC46" s="62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4"/>
    </row>
    <row r="47" spans="2:49" ht="14.4" customHeight="1" thickBot="1" x14ac:dyDescent="0.3">
      <c r="AC47" s="65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7"/>
    </row>
    <row r="48" spans="2:49" x14ac:dyDescent="0.25">
      <c r="AC48" s="74">
        <f>'Tax Comp'!E44</f>
        <v>-0.10000000000582077</v>
      </c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1"/>
    </row>
    <row r="49" spans="29:49" x14ac:dyDescent="0.25">
      <c r="AC49" s="62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4"/>
    </row>
    <row r="50" spans="29:49" x14ac:dyDescent="0.25">
      <c r="AC50" s="62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4"/>
    </row>
    <row r="51" spans="29:49" x14ac:dyDescent="0.25">
      <c r="AC51" s="62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4"/>
    </row>
    <row r="52" spans="29:49" x14ac:dyDescent="0.25">
      <c r="AC52" s="62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4"/>
    </row>
    <row r="53" spans="29:49" x14ac:dyDescent="0.25">
      <c r="AC53" s="62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4"/>
    </row>
    <row r="54" spans="29:49" ht="14.4" customHeight="1" thickBot="1" x14ac:dyDescent="0.3">
      <c r="AC54" s="65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7"/>
    </row>
    <row r="55" spans="29:49" x14ac:dyDescent="0.25">
      <c r="AC55" s="69" t="s">
        <v>9</v>
      </c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1"/>
    </row>
    <row r="56" spans="29:49" x14ac:dyDescent="0.25">
      <c r="AC56" s="62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4"/>
    </row>
    <row r="57" spans="29:49" x14ac:dyDescent="0.25">
      <c r="AC57" s="62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4"/>
    </row>
    <row r="58" spans="29:49" x14ac:dyDescent="0.25">
      <c r="AC58" s="62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4"/>
    </row>
    <row r="59" spans="29:49" ht="14.4" customHeight="1" thickBot="1" x14ac:dyDescent="0.3">
      <c r="AC59" s="65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7"/>
    </row>
    <row r="60" spans="29:49" x14ac:dyDescent="0.25">
      <c r="AC60" s="71">
        <v>46142</v>
      </c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1"/>
    </row>
    <row r="61" spans="29:49" x14ac:dyDescent="0.25">
      <c r="AC61" s="62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4"/>
    </row>
    <row r="62" spans="29:49" x14ac:dyDescent="0.25">
      <c r="AC62" s="62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4"/>
    </row>
    <row r="63" spans="29:49" x14ac:dyDescent="0.25">
      <c r="AC63" s="62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4"/>
    </row>
    <row r="64" spans="29:49" x14ac:dyDescent="0.25">
      <c r="AC64" s="62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4"/>
    </row>
    <row r="65" spans="2:49" ht="14.4" customHeight="1" thickBot="1" x14ac:dyDescent="0.3">
      <c r="AC65" s="65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7"/>
    </row>
    <row r="66" spans="2:49" x14ac:dyDescent="0.25">
      <c r="B66" s="69" t="s">
        <v>10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1"/>
      <c r="AA66" s="69" t="s">
        <v>11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1"/>
    </row>
    <row r="67" spans="2:49" x14ac:dyDescent="0.25"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4"/>
      <c r="AA67" s="62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4"/>
    </row>
    <row r="68" spans="2:49" x14ac:dyDescent="0.25"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4"/>
      <c r="AA68" s="62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4"/>
    </row>
    <row r="69" spans="2:49" x14ac:dyDescent="0.25"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4"/>
      <c r="AA69" s="62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4"/>
    </row>
    <row r="70" spans="2:49" ht="14.4" customHeight="1" thickBot="1" x14ac:dyDescent="0.3">
      <c r="B70" s="65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7"/>
      <c r="AA70" s="65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7"/>
    </row>
    <row r="71" spans="2:49" x14ac:dyDescent="0.25">
      <c r="B71" s="68">
        <f>'Tax Comp'!D34</f>
        <v>0.28000000000000003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1"/>
      <c r="AA71" s="72">
        <f>'Tax Comp'!E36/'Tax Comp'!E29</f>
        <v>0.23544548318396305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1"/>
    </row>
    <row r="72" spans="2:49" x14ac:dyDescent="0.25"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4"/>
      <c r="AA72" s="62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4"/>
    </row>
    <row r="73" spans="2:49" x14ac:dyDescent="0.25"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4"/>
      <c r="AA73" s="62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4"/>
    </row>
    <row r="74" spans="2:49" x14ac:dyDescent="0.25"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4"/>
      <c r="AA74" s="62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4"/>
    </row>
    <row r="75" spans="2:49" x14ac:dyDescent="0.25"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4"/>
      <c r="AA75" s="62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4"/>
    </row>
    <row r="76" spans="2:49" x14ac:dyDescent="0.25"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4"/>
      <c r="AA76" s="62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4"/>
    </row>
    <row r="77" spans="2:49" ht="14.4" customHeight="1" thickBot="1" x14ac:dyDescent="0.3">
      <c r="B77" s="65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7"/>
      <c r="AA77" s="65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7"/>
    </row>
  </sheetData>
  <mergeCells count="14">
    <mergeCell ref="AQ9:AW24"/>
    <mergeCell ref="B71:Z77"/>
    <mergeCell ref="B66:Z70"/>
    <mergeCell ref="X41:Z42"/>
    <mergeCell ref="AC60:AW65"/>
    <mergeCell ref="AA71:AW77"/>
    <mergeCell ref="B41:D42"/>
    <mergeCell ref="AC55:AW59"/>
    <mergeCell ref="AA66:AW70"/>
    <mergeCell ref="AC43:AW47"/>
    <mergeCell ref="AC48:AW54"/>
    <mergeCell ref="AQ25:AW42"/>
    <mergeCell ref="E41:W42"/>
    <mergeCell ref="AA41:AP42"/>
  </mergeCells>
  <pageMargins left="0.7" right="0.7" top="0.75" bottom="0.75" header="0.3" footer="0.3"/>
  <pageSetup scale="2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pageSetUpPr fitToPage="1"/>
  </sheetPr>
  <dimension ref="A1:Y1005"/>
  <sheetViews>
    <sheetView tabSelected="1" topLeftCell="B1" workbookViewId="0">
      <pane ySplit="10" topLeftCell="A29" activePane="bottomLeft" state="frozen"/>
      <selection activeCell="E22" sqref="E22"/>
      <selection pane="bottomLeft" activeCell="E33" sqref="E33"/>
    </sheetView>
  </sheetViews>
  <sheetFormatPr defaultColWidth="12.5546875" defaultRowHeight="15.75" customHeight="1" x14ac:dyDescent="0.3"/>
  <cols>
    <col min="1" max="1" width="40.109375" style="3" customWidth="1"/>
    <col min="2" max="2" width="2.44140625" style="3" customWidth="1"/>
    <col min="3" max="3" width="27.109375" style="3" customWidth="1"/>
    <col min="4" max="4" width="23.88671875" style="3" customWidth="1"/>
    <col min="5" max="5" width="23" style="3" customWidth="1"/>
    <col min="6" max="6" width="13.44140625" style="3" customWidth="1"/>
    <col min="7" max="7" width="12.6640625" style="3" customWidth="1"/>
    <col min="8" max="19" width="7.5546875" style="3" customWidth="1"/>
    <col min="20" max="21" width="12.5546875" style="3" customWidth="1"/>
    <col min="22" max="25" width="12.5546875" style="1" customWidth="1"/>
    <col min="26" max="26" width="12.5546875" style="3" customWidth="1"/>
    <col min="27" max="16384" width="12.5546875" style="3"/>
  </cols>
  <sheetData>
    <row r="1" spans="1:21" ht="13.5" customHeight="1" x14ac:dyDescent="0.3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4" customHeight="1" x14ac:dyDescent="0.3">
      <c r="A2" s="81" t="s">
        <v>0</v>
      </c>
      <c r="B2" s="79"/>
      <c r="C2" s="79"/>
      <c r="D2" s="79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4.4" customHeight="1" x14ac:dyDescent="0.3">
      <c r="A3" s="5"/>
      <c r="B3" s="5"/>
      <c r="C3" s="6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4.4" customHeight="1" x14ac:dyDescent="0.3">
      <c r="A4" s="5" t="s">
        <v>1</v>
      </c>
      <c r="B4" s="5" t="s">
        <v>2</v>
      </c>
      <c r="C4" s="8"/>
      <c r="D4" s="9"/>
      <c r="E4" s="10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4.4" customHeight="1" x14ac:dyDescent="0.3">
      <c r="A5" s="5" t="s">
        <v>3</v>
      </c>
      <c r="B5" s="5" t="s">
        <v>2</v>
      </c>
      <c r="C5" s="11"/>
      <c r="D5" s="9"/>
      <c r="E5" s="10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4.4" customHeight="1" x14ac:dyDescent="0.3">
      <c r="A6" s="5" t="s">
        <v>4</v>
      </c>
      <c r="B6" s="5" t="s">
        <v>2</v>
      </c>
      <c r="C6" s="8">
        <v>2025</v>
      </c>
      <c r="D6" s="9"/>
      <c r="E6" s="1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4.4" customHeight="1" x14ac:dyDescent="0.3">
      <c r="A7" s="5" t="s">
        <v>5</v>
      </c>
      <c r="B7" s="5" t="s">
        <v>2</v>
      </c>
      <c r="C7" s="8" t="s">
        <v>49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4.4" customHeight="1" x14ac:dyDescent="0.3">
      <c r="A8" s="5"/>
      <c r="B8" s="5"/>
      <c r="C8" s="6"/>
      <c r="D8" s="9"/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4.4" customHeight="1" x14ac:dyDescent="0.3">
      <c r="A9" s="80" t="s">
        <v>12</v>
      </c>
      <c r="B9" s="79"/>
      <c r="C9" s="79"/>
      <c r="D9" s="79"/>
      <c r="E9" s="7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4.4" customHeight="1" x14ac:dyDescent="0.3">
      <c r="A10" s="5"/>
      <c r="B10" s="5"/>
      <c r="C10" s="6"/>
      <c r="D10" s="9"/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4.4" customHeight="1" x14ac:dyDescent="0.3">
      <c r="A11" s="5"/>
      <c r="B11" s="5"/>
      <c r="C11" s="5"/>
      <c r="D11" s="5"/>
      <c r="E11" s="12" t="s">
        <v>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4.4" customHeight="1" x14ac:dyDescent="0.3">
      <c r="A12" s="5"/>
      <c r="B12" s="5"/>
      <c r="C12" s="6"/>
      <c r="D12" s="9"/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4.4" customHeight="1" x14ac:dyDescent="0.3">
      <c r="A13" s="13" t="s">
        <v>14</v>
      </c>
      <c r="B13" s="14"/>
      <c r="C13" s="6"/>
      <c r="D13" s="9"/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4.4" customHeight="1" x14ac:dyDescent="0.3">
      <c r="A14" s="5" t="s">
        <v>15</v>
      </c>
      <c r="B14" s="5"/>
      <c r="C14" s="6"/>
      <c r="D14" s="9"/>
      <c r="E14" s="10">
        <v>518811.03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4.4" customHeight="1" x14ac:dyDescent="0.3">
      <c r="A15" s="5" t="s">
        <v>16</v>
      </c>
      <c r="B15" s="5"/>
      <c r="C15" s="6"/>
      <c r="D15" s="9"/>
      <c r="E15" s="10" t="s">
        <v>17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4.4" customHeight="1" x14ac:dyDescent="0.3">
      <c r="A16" s="5" t="s">
        <v>18</v>
      </c>
      <c r="B16" s="5"/>
      <c r="C16" s="6"/>
      <c r="D16" s="9"/>
      <c r="E16" s="10">
        <v>133.87</v>
      </c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4.4" customHeight="1" x14ac:dyDescent="0.3">
      <c r="A17" s="5" t="s">
        <v>50</v>
      </c>
      <c r="B17" s="15"/>
      <c r="C17" s="15"/>
      <c r="D17" s="15"/>
      <c r="E17" s="10">
        <v>165749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8" customHeight="1" x14ac:dyDescent="0.3">
      <c r="A18" s="8" t="s">
        <v>19</v>
      </c>
      <c r="B18" s="16"/>
      <c r="C18" s="17"/>
      <c r="D18" s="18"/>
      <c r="E18" s="10" t="s">
        <v>17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8" customHeight="1" x14ac:dyDescent="0.3">
      <c r="A19" s="8" t="s">
        <v>20</v>
      </c>
      <c r="B19" s="16"/>
      <c r="C19" s="17"/>
      <c r="D19" s="18"/>
      <c r="E19" s="10" t="s">
        <v>17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8" customHeight="1" x14ac:dyDescent="0.3">
      <c r="A20" s="8" t="s">
        <v>21</v>
      </c>
      <c r="B20" s="16"/>
      <c r="C20" s="17"/>
      <c r="D20" s="18"/>
      <c r="E20" s="10" t="s">
        <v>17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8" customHeight="1" x14ac:dyDescent="0.3">
      <c r="A21" s="5" t="s">
        <v>22</v>
      </c>
      <c r="B21" s="16"/>
      <c r="C21" s="17"/>
      <c r="D21" s="18"/>
      <c r="E21" s="10">
        <v>19438.98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8" customHeight="1" x14ac:dyDescent="0.3">
      <c r="A22" s="5" t="s">
        <v>23</v>
      </c>
      <c r="B22" s="16"/>
      <c r="C22" s="17"/>
      <c r="D22" s="18"/>
      <c r="E22" s="10">
        <v>14112.41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4.4" customHeight="1" x14ac:dyDescent="0.3">
      <c r="A23" s="78" t="s">
        <v>24</v>
      </c>
      <c r="B23" s="79"/>
      <c r="C23" s="79"/>
      <c r="D23" s="79"/>
      <c r="E23" s="10" t="s">
        <v>17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8" customHeight="1" x14ac:dyDescent="0.3">
      <c r="A24" s="8" t="s">
        <v>25</v>
      </c>
      <c r="B24" s="16"/>
      <c r="C24" s="17"/>
      <c r="D24" s="18"/>
      <c r="E24" s="47" t="s">
        <v>17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4.4" customHeight="1" x14ac:dyDescent="0.3">
      <c r="A25" s="16" t="s">
        <v>26</v>
      </c>
      <c r="B25" s="16"/>
      <c r="C25" s="17"/>
      <c r="D25" s="18"/>
      <c r="E25" s="48">
        <f>SUM(E14:E24)</f>
        <v>718245.29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4.4" customHeight="1" x14ac:dyDescent="0.3">
      <c r="A26" s="5"/>
      <c r="B26" s="5"/>
      <c r="C26" s="6"/>
      <c r="D26" s="9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4.4" customHeight="1" x14ac:dyDescent="0.3">
      <c r="A27" s="5" t="s">
        <v>27</v>
      </c>
      <c r="B27" s="5"/>
      <c r="C27" s="6"/>
      <c r="D27" s="9"/>
      <c r="E27" s="10">
        <v>-9000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4.4" customHeight="1" x14ac:dyDescent="0.3">
      <c r="A28" s="14"/>
      <c r="B28" s="14"/>
      <c r="C28" s="6"/>
      <c r="D28" s="9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" customHeight="1" thickBot="1" x14ac:dyDescent="0.35">
      <c r="A29" s="16" t="s">
        <v>28</v>
      </c>
      <c r="B29" s="16"/>
      <c r="C29" s="17"/>
      <c r="D29" s="18"/>
      <c r="E29" s="49">
        <f>E25+E27</f>
        <v>709245.29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" customHeight="1" thickTop="1" x14ac:dyDescent="0.3">
      <c r="A30" s="19"/>
      <c r="B30" s="19"/>
      <c r="C30" s="20"/>
      <c r="D30" s="9"/>
      <c r="E30" s="2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4.4" customHeight="1" x14ac:dyDescent="0.3">
      <c r="A31" s="80" t="s">
        <v>29</v>
      </c>
      <c r="B31" s="79"/>
      <c r="C31" s="79"/>
      <c r="D31" s="79"/>
      <c r="E31" s="7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4.4" customHeight="1" x14ac:dyDescent="0.3">
      <c r="A32" s="5"/>
      <c r="B32" s="5"/>
      <c r="C32" s="6" t="s">
        <v>13</v>
      </c>
      <c r="D32" s="22" t="s">
        <v>30</v>
      </c>
      <c r="E32" s="2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4.4" customHeight="1" x14ac:dyDescent="0.3">
      <c r="A33" s="5" t="s">
        <v>31</v>
      </c>
      <c r="B33" s="5"/>
      <c r="C33" s="23">
        <f>IF(E29&gt;=2000000,2000000,IF(E29&gt;=600000,600000,IF(E29&gt;=400000,400000,IF(E29&gt;=100000,100000, IF(E29&gt;=70000,70000,IF(E29&gt;=50000,50000,IF(E29&gt;=35000,35000,IF(E29&gt;=20000,20000,IF(E29&gt;=5000,5000,0)))))))))</f>
        <v>600000</v>
      </c>
      <c r="D33" s="22"/>
      <c r="E33" s="24">
        <f>IF(C33=2000000,528400,IF(C33=600000,136400,IF(C33=400000,84400,IF(C33=100000,9400, IF(C33=70000,3700,IF(C33=50000,1500,IF(C33=35000,600,IF(C33=20000,150,IF(C33=5000,0,0)))))))))</f>
        <v>136400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4.4" customHeight="1" x14ac:dyDescent="0.3">
      <c r="A34" s="5" t="s">
        <v>32</v>
      </c>
      <c r="B34" s="5"/>
      <c r="C34" s="23">
        <f>ROUND(E29-C33,0)</f>
        <v>109245</v>
      </c>
      <c r="D34" s="25">
        <f>IF(C33=2000000,0.3,IF(C33=600000,0.28,IF(C33=400000,0.26,IF(C33=100000,0.25, IF(C33=70000,0.19,IF(C33=50000,0.11,IF(C33=35000,0.06,IF(C33=20000,0.03,IF(C33=5000,0.01,0)))))))))</f>
        <v>0.28000000000000003</v>
      </c>
      <c r="E34" s="24">
        <f>C34*D34</f>
        <v>30588.600000000002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4.4" customHeight="1" x14ac:dyDescent="0.3">
      <c r="A35" s="5"/>
      <c r="B35" s="5"/>
      <c r="C35" s="6"/>
      <c r="D35" s="9"/>
      <c r="E35" s="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4.4" customHeight="1" x14ac:dyDescent="0.3">
      <c r="A36" s="16" t="s">
        <v>33</v>
      </c>
      <c r="B36" s="16"/>
      <c r="C36" s="17"/>
      <c r="D36" s="18"/>
      <c r="E36" s="26">
        <f>E33+E34</f>
        <v>166988.6</v>
      </c>
      <c r="F36" s="5"/>
      <c r="G36" s="2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4.4" customHeight="1" x14ac:dyDescent="0.3">
      <c r="A37" s="5"/>
      <c r="B37" s="5"/>
      <c r="C37" s="6"/>
      <c r="D37" s="9"/>
      <c r="E37" s="2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4.4" customHeight="1" x14ac:dyDescent="0.3">
      <c r="A38" s="5" t="s">
        <v>34</v>
      </c>
      <c r="B38" s="5"/>
      <c r="C38" s="6"/>
      <c r="D38" s="9"/>
      <c r="E38" s="28">
        <f>IF(E29&lt;=35000, -400, 0)</f>
        <v>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4.4" customHeight="1" x14ac:dyDescent="0.3">
      <c r="A39" s="5" t="s">
        <v>35</v>
      </c>
      <c r="B39" s="5"/>
      <c r="C39" s="6"/>
      <c r="D39" s="9"/>
      <c r="E39" s="2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4.4" customHeight="1" x14ac:dyDescent="0.3">
      <c r="A40" s="5"/>
      <c r="B40" s="5"/>
      <c r="C40" s="6"/>
      <c r="D40" s="9"/>
      <c r="E40" s="28">
        <f>SUM(E36:E39)</f>
        <v>166988.6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4.4" customHeight="1" x14ac:dyDescent="0.3">
      <c r="A41" s="5" t="s">
        <v>36</v>
      </c>
      <c r="B41" s="5"/>
      <c r="C41" s="6"/>
      <c r="D41" s="9"/>
      <c r="E41" s="2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4.4" customHeight="1" x14ac:dyDescent="0.3">
      <c r="A42" s="5" t="s">
        <v>37</v>
      </c>
      <c r="B42" s="5"/>
      <c r="C42" s="6"/>
      <c r="D42" s="9"/>
      <c r="E42" s="28">
        <v>-166988.70000000001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4.4" customHeight="1" x14ac:dyDescent="0.3">
      <c r="A43" s="7"/>
      <c r="B43" s="7"/>
      <c r="C43" s="30"/>
      <c r="D43" s="6"/>
      <c r="E43" s="2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" customHeight="1" thickBot="1" x14ac:dyDescent="0.35">
      <c r="A44" s="31" t="s">
        <v>38</v>
      </c>
      <c r="B44" s="5"/>
      <c r="C44" s="6"/>
      <c r="D44" s="9"/>
      <c r="E44" s="45">
        <f>SUM(E40:E42)</f>
        <v>-0.10000000000582077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" customHeight="1" thickTop="1" x14ac:dyDescent="0.3">
      <c r="A45" s="5"/>
      <c r="B45" s="5"/>
      <c r="C45" s="6"/>
      <c r="D45" s="9"/>
      <c r="E45" s="2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4.4" customHeight="1" x14ac:dyDescent="0.3">
      <c r="A46" s="5"/>
      <c r="B46" s="5"/>
      <c r="C46" s="6"/>
      <c r="D46" s="9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3.5" customHeight="1" x14ac:dyDescent="0.3">
      <c r="A47" s="5"/>
      <c r="B47" s="5"/>
      <c r="C47" s="6"/>
      <c r="D47" s="9"/>
      <c r="E47" s="3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3.5" customHeight="1" x14ac:dyDescent="0.3">
      <c r="A48" s="5"/>
      <c r="B48" s="5"/>
      <c r="C48" s="6"/>
      <c r="D48" s="9"/>
      <c r="E48" s="3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3.5" customHeight="1" x14ac:dyDescent="0.3">
      <c r="A49" s="5"/>
      <c r="B49" s="5"/>
      <c r="C49" s="6"/>
      <c r="D49" s="9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3.5" customHeight="1" x14ac:dyDescent="0.3">
      <c r="A50" s="5"/>
      <c r="B50" s="5"/>
      <c r="C50" s="6"/>
      <c r="D50" s="9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3.5" customHeight="1" x14ac:dyDescent="0.3">
      <c r="A51" s="14"/>
      <c r="B51" s="14"/>
      <c r="C51" s="6"/>
      <c r="D51" s="9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3.5" customHeight="1" x14ac:dyDescent="0.3">
      <c r="A52" s="5"/>
      <c r="B52" s="5"/>
      <c r="C52" s="6"/>
      <c r="D52" s="9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3.5" customHeight="1" x14ac:dyDescent="0.3">
      <c r="A53" s="5"/>
      <c r="B53" s="5"/>
      <c r="C53" s="6"/>
      <c r="D53" s="9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3.5" customHeight="1" x14ac:dyDescent="0.3">
      <c r="A54" s="5"/>
      <c r="B54" s="5"/>
      <c r="C54" s="6"/>
      <c r="D54" s="9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3.5" customHeight="1" x14ac:dyDescent="0.3">
      <c r="A55" s="5"/>
      <c r="B55" s="5"/>
      <c r="C55" s="6"/>
      <c r="D55" s="9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3.5" customHeight="1" x14ac:dyDescent="0.3">
      <c r="A56" s="5"/>
      <c r="B56" s="5"/>
      <c r="C56" s="6"/>
      <c r="D56" s="9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.5" customHeight="1" x14ac:dyDescent="0.3">
      <c r="A57" s="33"/>
      <c r="B57" s="33"/>
      <c r="C57" s="34"/>
      <c r="D57" s="5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3.5" customHeight="1" x14ac:dyDescent="0.3">
      <c r="A58" s="5"/>
      <c r="B58" s="5"/>
      <c r="C58" s="6"/>
      <c r="D58" s="5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3.5" customHeight="1" x14ac:dyDescent="0.3">
      <c r="A59" s="5"/>
      <c r="B59" s="5"/>
      <c r="C59" s="6"/>
      <c r="D59" s="9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3.5" customHeight="1" x14ac:dyDescent="0.3">
      <c r="A60" s="5"/>
      <c r="B60" s="5"/>
      <c r="C60" s="6"/>
      <c r="D60" s="5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3.5" customHeight="1" x14ac:dyDescent="0.3">
      <c r="A61" s="5"/>
      <c r="B61" s="5"/>
      <c r="C61" s="6"/>
      <c r="D61" s="5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.5" customHeight="1" x14ac:dyDescent="0.3">
      <c r="A62" s="5"/>
      <c r="B62" s="5"/>
      <c r="C62" s="6"/>
      <c r="D62" s="5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3.5" customHeight="1" x14ac:dyDescent="0.3">
      <c r="A63" s="5"/>
      <c r="B63" s="5"/>
      <c r="C63" s="6"/>
      <c r="D63" s="5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.5" customHeight="1" x14ac:dyDescent="0.3">
      <c r="A64" s="5"/>
      <c r="B64" s="5"/>
      <c r="C64" s="6"/>
      <c r="D64" s="5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.5" customHeight="1" x14ac:dyDescent="0.3">
      <c r="A65" s="5"/>
      <c r="B65" s="5"/>
      <c r="C65" s="6"/>
      <c r="D65" s="5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.5" customHeight="1" x14ac:dyDescent="0.3">
      <c r="A66" s="5"/>
      <c r="B66" s="5"/>
      <c r="C66" s="6"/>
      <c r="D66" s="5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.5" customHeight="1" x14ac:dyDescent="0.3">
      <c r="A67" s="5"/>
      <c r="B67" s="5"/>
      <c r="C67" s="6"/>
      <c r="D67" s="5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.5" customHeight="1" x14ac:dyDescent="0.3">
      <c r="A68" s="5"/>
      <c r="B68" s="5"/>
      <c r="C68" s="6"/>
      <c r="D68" s="5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.5" customHeight="1" x14ac:dyDescent="0.3">
      <c r="A69" s="5"/>
      <c r="B69" s="5"/>
      <c r="C69" s="6"/>
      <c r="D69" s="5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.5" customHeight="1" x14ac:dyDescent="0.3">
      <c r="A70" s="5"/>
      <c r="B70" s="5"/>
      <c r="C70" s="6"/>
      <c r="D70" s="5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.5" customHeight="1" x14ac:dyDescent="0.3">
      <c r="A71" s="5"/>
      <c r="B71" s="5"/>
      <c r="C71" s="6"/>
      <c r="D71" s="5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.5" customHeight="1" x14ac:dyDescent="0.3">
      <c r="A72" s="5"/>
      <c r="B72" s="5"/>
      <c r="C72" s="6"/>
      <c r="D72" s="5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.5" customHeight="1" x14ac:dyDescent="0.3">
      <c r="A73" s="5"/>
      <c r="B73" s="5"/>
      <c r="C73" s="6"/>
      <c r="D73" s="5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.5" customHeight="1" x14ac:dyDescent="0.3">
      <c r="A74" s="5"/>
      <c r="B74" s="5"/>
      <c r="C74" s="6"/>
      <c r="D74" s="5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.5" customHeight="1" x14ac:dyDescent="0.3">
      <c r="A75" s="5"/>
      <c r="B75" s="5"/>
      <c r="C75" s="6"/>
      <c r="D75" s="5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.5" customHeight="1" x14ac:dyDescent="0.3">
      <c r="A76" s="5"/>
      <c r="B76" s="5"/>
      <c r="C76" s="6"/>
      <c r="D76" s="5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.5" customHeight="1" x14ac:dyDescent="0.3">
      <c r="A77" s="5"/>
      <c r="B77" s="5"/>
      <c r="C77" s="6"/>
      <c r="D77" s="5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.5" customHeight="1" x14ac:dyDescent="0.3">
      <c r="A78" s="5"/>
      <c r="B78" s="5"/>
      <c r="C78" s="6"/>
      <c r="D78" s="5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.5" customHeight="1" x14ac:dyDescent="0.3">
      <c r="A79" s="5"/>
      <c r="B79" s="5"/>
      <c r="C79" s="6"/>
      <c r="D79" s="5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.5" customHeight="1" x14ac:dyDescent="0.3">
      <c r="A80" s="5"/>
      <c r="B80" s="5"/>
      <c r="C80" s="6"/>
      <c r="D80" s="5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.5" customHeight="1" x14ac:dyDescent="0.3">
      <c r="A81" s="5"/>
      <c r="B81" s="5"/>
      <c r="C81" s="6"/>
      <c r="D81" s="5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.5" customHeight="1" x14ac:dyDescent="0.3">
      <c r="A82" s="5"/>
      <c r="B82" s="5"/>
      <c r="C82" s="6"/>
      <c r="D82" s="5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.5" customHeight="1" x14ac:dyDescent="0.3">
      <c r="A83" s="5"/>
      <c r="B83" s="5"/>
      <c r="C83" s="6"/>
      <c r="D83" s="5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.5" customHeight="1" x14ac:dyDescent="0.3">
      <c r="A84" s="5"/>
      <c r="B84" s="5"/>
      <c r="C84" s="6"/>
      <c r="D84" s="5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.5" customHeight="1" x14ac:dyDescent="0.3">
      <c r="A85" s="5"/>
      <c r="B85" s="5"/>
      <c r="C85" s="6"/>
      <c r="D85" s="5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.5" customHeight="1" x14ac:dyDescent="0.3">
      <c r="A86" s="5"/>
      <c r="B86" s="5"/>
      <c r="C86" s="6"/>
      <c r="D86" s="5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.5" customHeight="1" x14ac:dyDescent="0.3">
      <c r="A87" s="5"/>
      <c r="B87" s="5"/>
      <c r="C87" s="6"/>
      <c r="D87" s="5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.5" customHeight="1" x14ac:dyDescent="0.3">
      <c r="A88" s="5"/>
      <c r="B88" s="5"/>
      <c r="C88" s="6"/>
      <c r="D88" s="5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.5" customHeight="1" x14ac:dyDescent="0.3">
      <c r="A89" s="5"/>
      <c r="B89" s="5"/>
      <c r="C89" s="6"/>
      <c r="D89" s="5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.5" customHeight="1" x14ac:dyDescent="0.3">
      <c r="A90" s="5"/>
      <c r="B90" s="5"/>
      <c r="C90" s="6"/>
      <c r="D90" s="5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.5" customHeight="1" x14ac:dyDescent="0.3">
      <c r="A91" s="5"/>
      <c r="B91" s="5"/>
      <c r="C91" s="6"/>
      <c r="D91" s="5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.5" customHeight="1" x14ac:dyDescent="0.3">
      <c r="A92" s="5"/>
      <c r="B92" s="5"/>
      <c r="C92" s="6"/>
      <c r="D92" s="5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.5" customHeight="1" x14ac:dyDescent="0.3">
      <c r="A93" s="5"/>
      <c r="B93" s="5"/>
      <c r="C93" s="6"/>
      <c r="D93" s="5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.5" customHeight="1" x14ac:dyDescent="0.3">
      <c r="A94" s="5"/>
      <c r="B94" s="5"/>
      <c r="C94" s="6"/>
      <c r="D94" s="5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.5" customHeight="1" x14ac:dyDescent="0.3">
      <c r="A95" s="5"/>
      <c r="B95" s="5"/>
      <c r="C95" s="6"/>
      <c r="D95" s="5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.5" customHeight="1" x14ac:dyDescent="0.3">
      <c r="A96" s="5"/>
      <c r="B96" s="5"/>
      <c r="C96" s="6"/>
      <c r="D96" s="5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.5" customHeight="1" x14ac:dyDescent="0.3">
      <c r="A97" s="5"/>
      <c r="B97" s="5"/>
      <c r="C97" s="6"/>
      <c r="D97" s="5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.5" customHeight="1" x14ac:dyDescent="0.3">
      <c r="A98" s="5"/>
      <c r="B98" s="5"/>
      <c r="C98" s="6"/>
      <c r="D98" s="5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.5" customHeight="1" x14ac:dyDescent="0.3">
      <c r="A99" s="5"/>
      <c r="B99" s="5"/>
      <c r="C99" s="6"/>
      <c r="D99" s="5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.5" customHeight="1" x14ac:dyDescent="0.3">
      <c r="A100" s="5"/>
      <c r="B100" s="5"/>
      <c r="C100" s="6"/>
      <c r="D100" s="5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.5" customHeight="1" x14ac:dyDescent="0.3">
      <c r="A101" s="5"/>
      <c r="B101" s="5"/>
      <c r="C101" s="6"/>
      <c r="D101" s="5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.5" customHeight="1" x14ac:dyDescent="0.3">
      <c r="A102" s="5"/>
      <c r="B102" s="5"/>
      <c r="C102" s="6"/>
      <c r="D102" s="5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.5" customHeight="1" x14ac:dyDescent="0.3">
      <c r="A103" s="5"/>
      <c r="B103" s="5"/>
      <c r="C103" s="6"/>
      <c r="D103" s="5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.5" customHeight="1" x14ac:dyDescent="0.3">
      <c r="A104" s="5"/>
      <c r="B104" s="5"/>
      <c r="C104" s="6"/>
      <c r="D104" s="5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.5" customHeight="1" x14ac:dyDescent="0.3">
      <c r="A105" s="5"/>
      <c r="B105" s="5"/>
      <c r="C105" s="6"/>
      <c r="D105" s="5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.5" customHeight="1" x14ac:dyDescent="0.3">
      <c r="A106" s="5"/>
      <c r="B106" s="5"/>
      <c r="C106" s="6"/>
      <c r="D106" s="5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.5" customHeight="1" x14ac:dyDescent="0.3">
      <c r="A107" s="5"/>
      <c r="B107" s="5"/>
      <c r="C107" s="6"/>
      <c r="D107" s="5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.5" customHeight="1" x14ac:dyDescent="0.3">
      <c r="A108" s="5"/>
      <c r="B108" s="5"/>
      <c r="C108" s="6"/>
      <c r="D108" s="5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.5" customHeight="1" x14ac:dyDescent="0.3">
      <c r="A109" s="5"/>
      <c r="B109" s="5"/>
      <c r="C109" s="6"/>
      <c r="D109" s="5"/>
      <c r="E109" s="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.5" customHeight="1" x14ac:dyDescent="0.3">
      <c r="A110" s="5"/>
      <c r="B110" s="5"/>
      <c r="C110" s="6"/>
      <c r="D110" s="5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.5" customHeight="1" x14ac:dyDescent="0.3">
      <c r="A111" s="5"/>
      <c r="B111" s="5"/>
      <c r="C111" s="6"/>
      <c r="D111" s="5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.5" customHeight="1" x14ac:dyDescent="0.3">
      <c r="A112" s="5"/>
      <c r="B112" s="5"/>
      <c r="C112" s="6"/>
      <c r="D112" s="5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.5" customHeight="1" x14ac:dyDescent="0.3">
      <c r="A113" s="5"/>
      <c r="B113" s="5"/>
      <c r="C113" s="6"/>
      <c r="D113" s="5"/>
      <c r="E113" s="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.5" customHeight="1" x14ac:dyDescent="0.3">
      <c r="A114" s="5"/>
      <c r="B114" s="5"/>
      <c r="C114" s="6"/>
      <c r="D114" s="5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.5" customHeight="1" x14ac:dyDescent="0.3">
      <c r="A115" s="5"/>
      <c r="B115" s="5"/>
      <c r="C115" s="6"/>
      <c r="D115" s="5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.5" customHeight="1" x14ac:dyDescent="0.3">
      <c r="A116" s="5"/>
      <c r="B116" s="5"/>
      <c r="C116" s="6"/>
      <c r="D116" s="5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.5" customHeight="1" x14ac:dyDescent="0.3">
      <c r="A117" s="5"/>
      <c r="B117" s="5"/>
      <c r="C117" s="6"/>
      <c r="D117" s="5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.5" customHeight="1" x14ac:dyDescent="0.3">
      <c r="A118" s="5"/>
      <c r="B118" s="5"/>
      <c r="C118" s="6"/>
      <c r="D118" s="5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.5" customHeight="1" x14ac:dyDescent="0.3">
      <c r="A119" s="5"/>
      <c r="B119" s="5"/>
      <c r="C119" s="6"/>
      <c r="D119" s="5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.5" customHeight="1" x14ac:dyDescent="0.3">
      <c r="A120" s="5"/>
      <c r="B120" s="5"/>
      <c r="C120" s="6"/>
      <c r="D120" s="5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.5" customHeight="1" x14ac:dyDescent="0.3">
      <c r="A121" s="5"/>
      <c r="B121" s="5"/>
      <c r="C121" s="6"/>
      <c r="D121" s="5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.5" customHeight="1" x14ac:dyDescent="0.3">
      <c r="A122" s="5"/>
      <c r="B122" s="5"/>
      <c r="C122" s="6"/>
      <c r="D122" s="5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.5" customHeight="1" x14ac:dyDescent="0.3">
      <c r="A123" s="5"/>
      <c r="B123" s="5"/>
      <c r="C123" s="6"/>
      <c r="D123" s="5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.5" customHeight="1" x14ac:dyDescent="0.3">
      <c r="A124" s="5"/>
      <c r="B124" s="5"/>
      <c r="C124" s="6"/>
      <c r="D124" s="5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.5" customHeight="1" x14ac:dyDescent="0.3">
      <c r="A125" s="5"/>
      <c r="B125" s="5"/>
      <c r="C125" s="6"/>
      <c r="D125" s="5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.5" customHeight="1" x14ac:dyDescent="0.3">
      <c r="A126" s="5"/>
      <c r="B126" s="5"/>
      <c r="C126" s="6"/>
      <c r="D126" s="5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.5" customHeight="1" x14ac:dyDescent="0.3">
      <c r="A127" s="5"/>
      <c r="B127" s="5"/>
      <c r="C127" s="6"/>
      <c r="D127" s="5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.5" customHeight="1" x14ac:dyDescent="0.3">
      <c r="A128" s="5"/>
      <c r="B128" s="5"/>
      <c r="C128" s="6"/>
      <c r="D128" s="5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.5" customHeight="1" x14ac:dyDescent="0.3">
      <c r="A129" s="5"/>
      <c r="B129" s="5"/>
      <c r="C129" s="6"/>
      <c r="D129" s="5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.5" customHeight="1" x14ac:dyDescent="0.3">
      <c r="A130" s="5"/>
      <c r="B130" s="5"/>
      <c r="C130" s="6"/>
      <c r="D130" s="5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.5" customHeight="1" x14ac:dyDescent="0.3">
      <c r="A131" s="5"/>
      <c r="B131" s="5"/>
      <c r="C131" s="6"/>
      <c r="D131" s="5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.5" customHeight="1" x14ac:dyDescent="0.3">
      <c r="A132" s="5"/>
      <c r="B132" s="5"/>
      <c r="C132" s="6"/>
      <c r="D132" s="5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.5" customHeight="1" x14ac:dyDescent="0.3">
      <c r="A133" s="5"/>
      <c r="B133" s="5"/>
      <c r="C133" s="6"/>
      <c r="D133" s="5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.5" customHeight="1" x14ac:dyDescent="0.3">
      <c r="A134" s="5"/>
      <c r="B134" s="5"/>
      <c r="C134" s="6"/>
      <c r="D134" s="5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.5" customHeight="1" x14ac:dyDescent="0.3">
      <c r="A135" s="5"/>
      <c r="B135" s="5"/>
      <c r="C135" s="6"/>
      <c r="D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.5" customHeight="1" x14ac:dyDescent="0.3">
      <c r="A136" s="5"/>
      <c r="B136" s="5"/>
      <c r="C136" s="6"/>
      <c r="D136" s="5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.5" customHeight="1" x14ac:dyDescent="0.3">
      <c r="A137" s="5"/>
      <c r="B137" s="5"/>
      <c r="C137" s="6"/>
      <c r="D137" s="5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.5" customHeight="1" x14ac:dyDescent="0.3">
      <c r="A138" s="5"/>
      <c r="B138" s="5"/>
      <c r="C138" s="6"/>
      <c r="D138" s="5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.5" customHeight="1" x14ac:dyDescent="0.3">
      <c r="A139" s="5"/>
      <c r="B139" s="5"/>
      <c r="C139" s="6"/>
      <c r="D139" s="5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.5" customHeight="1" x14ac:dyDescent="0.3">
      <c r="A140" s="5"/>
      <c r="B140" s="5"/>
      <c r="C140" s="6"/>
      <c r="D140" s="5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.5" customHeight="1" x14ac:dyDescent="0.3">
      <c r="A141" s="5"/>
      <c r="B141" s="5"/>
      <c r="C141" s="6"/>
      <c r="D141" s="5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.5" customHeight="1" x14ac:dyDescent="0.3">
      <c r="A142" s="5"/>
      <c r="B142" s="5"/>
      <c r="C142" s="6"/>
      <c r="D142" s="5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.5" customHeight="1" x14ac:dyDescent="0.3">
      <c r="A143" s="5"/>
      <c r="B143" s="5"/>
      <c r="C143" s="6"/>
      <c r="D143" s="5"/>
      <c r="E143" s="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.5" customHeight="1" x14ac:dyDescent="0.3">
      <c r="A144" s="5"/>
      <c r="B144" s="5"/>
      <c r="C144" s="6"/>
      <c r="D144" s="5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.5" customHeight="1" x14ac:dyDescent="0.3">
      <c r="A145" s="5"/>
      <c r="B145" s="5"/>
      <c r="C145" s="6"/>
      <c r="D145" s="5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.5" customHeight="1" x14ac:dyDescent="0.3">
      <c r="A146" s="5"/>
      <c r="B146" s="5"/>
      <c r="C146" s="6"/>
      <c r="D146" s="5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.5" customHeight="1" x14ac:dyDescent="0.3">
      <c r="A147" s="5"/>
      <c r="B147" s="5"/>
      <c r="C147" s="6"/>
      <c r="D147" s="5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.5" customHeight="1" x14ac:dyDescent="0.3">
      <c r="A148" s="5"/>
      <c r="B148" s="5"/>
      <c r="C148" s="6"/>
      <c r="D148" s="5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.5" customHeight="1" x14ac:dyDescent="0.3">
      <c r="A149" s="5"/>
      <c r="B149" s="5"/>
      <c r="C149" s="6"/>
      <c r="D149" s="5"/>
      <c r="E149" s="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.5" customHeight="1" x14ac:dyDescent="0.3">
      <c r="A150" s="5"/>
      <c r="B150" s="5"/>
      <c r="C150" s="6"/>
      <c r="D150" s="5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.5" customHeight="1" x14ac:dyDescent="0.3">
      <c r="A151" s="5"/>
      <c r="B151" s="5"/>
      <c r="C151" s="6"/>
      <c r="D151" s="5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.5" customHeight="1" x14ac:dyDescent="0.3">
      <c r="A152" s="5"/>
      <c r="B152" s="5"/>
      <c r="C152" s="6"/>
      <c r="D152" s="5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.5" customHeight="1" x14ac:dyDescent="0.3">
      <c r="A153" s="5"/>
      <c r="B153" s="5"/>
      <c r="C153" s="6"/>
      <c r="D153" s="5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.5" customHeight="1" x14ac:dyDescent="0.3">
      <c r="A154" s="5"/>
      <c r="B154" s="5"/>
      <c r="C154" s="6"/>
      <c r="D154" s="5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.5" customHeight="1" x14ac:dyDescent="0.3">
      <c r="A155" s="5"/>
      <c r="B155" s="5"/>
      <c r="C155" s="6"/>
      <c r="D155" s="5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.5" customHeight="1" x14ac:dyDescent="0.3">
      <c r="A156" s="5"/>
      <c r="B156" s="5"/>
      <c r="C156" s="6"/>
      <c r="D156" s="5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.5" customHeight="1" x14ac:dyDescent="0.3">
      <c r="A157" s="5"/>
      <c r="B157" s="5"/>
      <c r="C157" s="6"/>
      <c r="D157" s="5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.5" customHeight="1" x14ac:dyDescent="0.3">
      <c r="A158" s="5"/>
      <c r="B158" s="5"/>
      <c r="C158" s="6"/>
      <c r="D158" s="5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.5" customHeight="1" x14ac:dyDescent="0.3">
      <c r="A159" s="5"/>
      <c r="B159" s="5"/>
      <c r="C159" s="6"/>
      <c r="D159" s="5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.5" customHeight="1" x14ac:dyDescent="0.3">
      <c r="A160" s="5"/>
      <c r="B160" s="5"/>
      <c r="C160" s="6"/>
      <c r="D160" s="5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.5" customHeight="1" x14ac:dyDescent="0.3">
      <c r="A161" s="5"/>
      <c r="B161" s="5"/>
      <c r="C161" s="6"/>
      <c r="D161" s="5"/>
      <c r="E161" s="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.5" customHeight="1" x14ac:dyDescent="0.3">
      <c r="A162" s="5"/>
      <c r="B162" s="5"/>
      <c r="C162" s="6"/>
      <c r="D162" s="5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.5" customHeight="1" x14ac:dyDescent="0.3">
      <c r="A163" s="5"/>
      <c r="B163" s="5"/>
      <c r="C163" s="6"/>
      <c r="D163" s="5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.5" customHeight="1" x14ac:dyDescent="0.3">
      <c r="A164" s="5"/>
      <c r="B164" s="5"/>
      <c r="C164" s="6"/>
      <c r="D164" s="5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.5" customHeight="1" x14ac:dyDescent="0.3">
      <c r="A165" s="5"/>
      <c r="B165" s="5"/>
      <c r="C165" s="6"/>
      <c r="D165" s="5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.5" customHeight="1" x14ac:dyDescent="0.3">
      <c r="A166" s="5"/>
      <c r="B166" s="5"/>
      <c r="C166" s="6"/>
      <c r="D166" s="5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.5" customHeight="1" x14ac:dyDescent="0.3">
      <c r="A167" s="5"/>
      <c r="B167" s="5"/>
      <c r="C167" s="6"/>
      <c r="D167" s="5"/>
      <c r="E167" s="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.5" customHeight="1" x14ac:dyDescent="0.3">
      <c r="A168" s="5"/>
      <c r="B168" s="5"/>
      <c r="C168" s="6"/>
      <c r="D168" s="5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.5" customHeight="1" x14ac:dyDescent="0.3">
      <c r="A169" s="5"/>
      <c r="B169" s="5"/>
      <c r="C169" s="6"/>
      <c r="D169" s="5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.5" customHeight="1" x14ac:dyDescent="0.3">
      <c r="A170" s="5"/>
      <c r="B170" s="5"/>
      <c r="C170" s="6"/>
      <c r="D170" s="5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.5" customHeight="1" x14ac:dyDescent="0.3">
      <c r="A171" s="5"/>
      <c r="B171" s="5"/>
      <c r="C171" s="6"/>
      <c r="D171" s="5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.5" customHeight="1" x14ac:dyDescent="0.3">
      <c r="A172" s="5"/>
      <c r="B172" s="5"/>
      <c r="C172" s="6"/>
      <c r="D172" s="5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.5" customHeight="1" x14ac:dyDescent="0.3">
      <c r="A173" s="5"/>
      <c r="B173" s="5"/>
      <c r="C173" s="6"/>
      <c r="D173" s="5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.5" customHeight="1" x14ac:dyDescent="0.3">
      <c r="A174" s="5"/>
      <c r="B174" s="5"/>
      <c r="C174" s="6"/>
      <c r="D174" s="5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.5" customHeight="1" x14ac:dyDescent="0.3">
      <c r="A175" s="5"/>
      <c r="B175" s="5"/>
      <c r="C175" s="6"/>
      <c r="D175" s="5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.5" customHeight="1" x14ac:dyDescent="0.3">
      <c r="A176" s="5"/>
      <c r="B176" s="5"/>
      <c r="C176" s="6"/>
      <c r="D176" s="5"/>
      <c r="E176" s="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.5" customHeight="1" x14ac:dyDescent="0.3">
      <c r="A177" s="5"/>
      <c r="B177" s="5"/>
      <c r="C177" s="6"/>
      <c r="D177" s="5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.5" customHeight="1" x14ac:dyDescent="0.3">
      <c r="A178" s="5"/>
      <c r="B178" s="5"/>
      <c r="C178" s="6"/>
      <c r="D178" s="5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.5" customHeight="1" x14ac:dyDescent="0.3">
      <c r="A179" s="5"/>
      <c r="B179" s="5"/>
      <c r="C179" s="6"/>
      <c r="D179" s="5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.5" customHeight="1" x14ac:dyDescent="0.3">
      <c r="A180" s="5"/>
      <c r="B180" s="5"/>
      <c r="C180" s="6"/>
      <c r="D180" s="5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.5" customHeight="1" x14ac:dyDescent="0.3">
      <c r="A181" s="5"/>
      <c r="B181" s="5"/>
      <c r="C181" s="6"/>
      <c r="D181" s="5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.5" customHeight="1" x14ac:dyDescent="0.3">
      <c r="A182" s="5"/>
      <c r="B182" s="5"/>
      <c r="C182" s="6"/>
      <c r="D182" s="5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.5" customHeight="1" x14ac:dyDescent="0.3">
      <c r="A183" s="5"/>
      <c r="B183" s="5"/>
      <c r="C183" s="6"/>
      <c r="D183" s="5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.5" customHeight="1" x14ac:dyDescent="0.3">
      <c r="A184" s="5"/>
      <c r="B184" s="5"/>
      <c r="C184" s="6"/>
      <c r="D184" s="5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.5" customHeight="1" x14ac:dyDescent="0.3">
      <c r="A185" s="5"/>
      <c r="B185" s="5"/>
      <c r="C185" s="6"/>
      <c r="D185" s="5"/>
      <c r="E185" s="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.5" customHeight="1" x14ac:dyDescent="0.3">
      <c r="A186" s="5"/>
      <c r="B186" s="5"/>
      <c r="C186" s="6"/>
      <c r="D186" s="5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.5" customHeight="1" x14ac:dyDescent="0.3">
      <c r="A187" s="5"/>
      <c r="B187" s="5"/>
      <c r="C187" s="6"/>
      <c r="D187" s="5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.5" customHeight="1" x14ac:dyDescent="0.3">
      <c r="A188" s="5"/>
      <c r="B188" s="5"/>
      <c r="C188" s="6"/>
      <c r="D188" s="5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.5" customHeight="1" x14ac:dyDescent="0.3">
      <c r="A189" s="5"/>
      <c r="B189" s="5"/>
      <c r="C189" s="6"/>
      <c r="D189" s="5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.5" customHeight="1" x14ac:dyDescent="0.3">
      <c r="A190" s="5"/>
      <c r="B190" s="5"/>
      <c r="C190" s="6"/>
      <c r="D190" s="5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.5" customHeight="1" x14ac:dyDescent="0.3">
      <c r="A191" s="5"/>
      <c r="B191" s="5"/>
      <c r="C191" s="6"/>
      <c r="D191" s="5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.5" customHeight="1" x14ac:dyDescent="0.3">
      <c r="A192" s="5"/>
      <c r="B192" s="5"/>
      <c r="C192" s="6"/>
      <c r="D192" s="5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.5" customHeight="1" x14ac:dyDescent="0.3">
      <c r="A193" s="5"/>
      <c r="B193" s="5"/>
      <c r="C193" s="6"/>
      <c r="D193" s="5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.5" customHeight="1" x14ac:dyDescent="0.3">
      <c r="A194" s="5"/>
      <c r="B194" s="5"/>
      <c r="C194" s="6"/>
      <c r="D194" s="5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.5" customHeight="1" x14ac:dyDescent="0.3">
      <c r="A195" s="5"/>
      <c r="B195" s="5"/>
      <c r="C195" s="6"/>
      <c r="D195" s="5"/>
      <c r="E195" s="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.5" customHeight="1" x14ac:dyDescent="0.3">
      <c r="A196" s="5"/>
      <c r="B196" s="5"/>
      <c r="C196" s="6"/>
      <c r="D196" s="5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.5" customHeight="1" x14ac:dyDescent="0.3">
      <c r="A197" s="5"/>
      <c r="B197" s="5"/>
      <c r="C197" s="6"/>
      <c r="D197" s="5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.5" customHeight="1" x14ac:dyDescent="0.3">
      <c r="A198" s="5"/>
      <c r="B198" s="5"/>
      <c r="C198" s="6"/>
      <c r="D198" s="5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.5" customHeight="1" x14ac:dyDescent="0.3">
      <c r="A199" s="5"/>
      <c r="B199" s="5"/>
      <c r="C199" s="6"/>
      <c r="D199" s="5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.5" customHeight="1" x14ac:dyDescent="0.3">
      <c r="A200" s="5"/>
      <c r="B200" s="5"/>
      <c r="C200" s="6"/>
      <c r="D200" s="5"/>
      <c r="E200" s="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.5" customHeight="1" x14ac:dyDescent="0.3">
      <c r="A201" s="5"/>
      <c r="B201" s="5"/>
      <c r="C201" s="6"/>
      <c r="D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.5" customHeight="1" x14ac:dyDescent="0.3">
      <c r="A202" s="5"/>
      <c r="B202" s="5"/>
      <c r="C202" s="6"/>
      <c r="D202" s="5"/>
      <c r="E202" s="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.5" customHeight="1" x14ac:dyDescent="0.3">
      <c r="A203" s="5"/>
      <c r="B203" s="5"/>
      <c r="C203" s="6"/>
      <c r="D203" s="5"/>
      <c r="E203" s="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.5" customHeight="1" x14ac:dyDescent="0.3">
      <c r="A204" s="5"/>
      <c r="B204" s="5"/>
      <c r="C204" s="6"/>
      <c r="D204" s="5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.5" customHeight="1" x14ac:dyDescent="0.3">
      <c r="A205" s="5"/>
      <c r="B205" s="5"/>
      <c r="C205" s="6"/>
      <c r="D205" s="5"/>
      <c r="E205" s="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.5" customHeight="1" x14ac:dyDescent="0.3">
      <c r="A206" s="5"/>
      <c r="B206" s="5"/>
      <c r="C206" s="6"/>
      <c r="D206" s="5"/>
      <c r="E206" s="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.5" customHeight="1" x14ac:dyDescent="0.3">
      <c r="A207" s="5"/>
      <c r="B207" s="5"/>
      <c r="C207" s="6"/>
      <c r="D207" s="5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.5" customHeight="1" x14ac:dyDescent="0.3">
      <c r="A208" s="5"/>
      <c r="B208" s="5"/>
      <c r="C208" s="6"/>
      <c r="D208" s="5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.5" customHeight="1" x14ac:dyDescent="0.3">
      <c r="A209" s="5"/>
      <c r="B209" s="5"/>
      <c r="C209" s="6"/>
      <c r="D209" s="5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.5" customHeight="1" x14ac:dyDescent="0.3">
      <c r="A210" s="5"/>
      <c r="B210" s="5"/>
      <c r="C210" s="6"/>
      <c r="D210" s="5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.5" customHeight="1" x14ac:dyDescent="0.3">
      <c r="A211" s="5"/>
      <c r="B211" s="5"/>
      <c r="C211" s="6"/>
      <c r="D211" s="5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.5" customHeight="1" x14ac:dyDescent="0.3">
      <c r="A212" s="5"/>
      <c r="B212" s="5"/>
      <c r="C212" s="6"/>
      <c r="D212" s="5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.5" customHeight="1" x14ac:dyDescent="0.3">
      <c r="A213" s="5"/>
      <c r="B213" s="5"/>
      <c r="C213" s="6"/>
      <c r="D213" s="5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.5" customHeight="1" x14ac:dyDescent="0.3">
      <c r="A214" s="5"/>
      <c r="B214" s="5"/>
      <c r="C214" s="6"/>
      <c r="D214" s="5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.5" customHeight="1" x14ac:dyDescent="0.3">
      <c r="A215" s="5"/>
      <c r="B215" s="5"/>
      <c r="C215" s="6"/>
      <c r="D215" s="5"/>
      <c r="E215" s="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.5" customHeight="1" x14ac:dyDescent="0.3">
      <c r="A216" s="5"/>
      <c r="B216" s="5"/>
      <c r="C216" s="6"/>
      <c r="D216" s="5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.5" customHeight="1" x14ac:dyDescent="0.3">
      <c r="A217" s="5"/>
      <c r="B217" s="5"/>
      <c r="C217" s="6"/>
      <c r="D217" s="5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.5" customHeight="1" x14ac:dyDescent="0.3">
      <c r="A218" s="5"/>
      <c r="B218" s="5"/>
      <c r="C218" s="6"/>
      <c r="D218" s="5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.5" customHeight="1" x14ac:dyDescent="0.3">
      <c r="A219" s="5"/>
      <c r="B219" s="5"/>
      <c r="C219" s="6"/>
      <c r="D219" s="5"/>
      <c r="E219" s="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.5" customHeight="1" x14ac:dyDescent="0.3">
      <c r="A220" s="5"/>
      <c r="B220" s="5"/>
      <c r="C220" s="6"/>
      <c r="D220" s="5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.5" customHeight="1" x14ac:dyDescent="0.3">
      <c r="A221" s="5"/>
      <c r="B221" s="5"/>
      <c r="C221" s="6"/>
      <c r="D221" s="5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.5" customHeight="1" x14ac:dyDescent="0.3">
      <c r="A222" s="5"/>
      <c r="B222" s="5"/>
      <c r="C222" s="6"/>
      <c r="D222" s="5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.5" customHeight="1" x14ac:dyDescent="0.3">
      <c r="A223" s="5"/>
      <c r="B223" s="5"/>
      <c r="C223" s="6"/>
      <c r="D223" s="5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.5" customHeight="1" x14ac:dyDescent="0.3">
      <c r="A224" s="5"/>
      <c r="B224" s="5"/>
      <c r="C224" s="6"/>
      <c r="D224" s="5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.5" customHeight="1" x14ac:dyDescent="0.3">
      <c r="A225" s="5"/>
      <c r="B225" s="5"/>
      <c r="C225" s="6"/>
      <c r="D225" s="5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.5" customHeight="1" x14ac:dyDescent="0.3">
      <c r="A226" s="5"/>
      <c r="B226" s="5"/>
      <c r="C226" s="6"/>
      <c r="D226" s="5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.5" customHeight="1" x14ac:dyDescent="0.3">
      <c r="A227" s="5"/>
      <c r="B227" s="5"/>
      <c r="C227" s="6"/>
      <c r="D227" s="5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.5" customHeight="1" x14ac:dyDescent="0.3">
      <c r="A228" s="5"/>
      <c r="B228" s="5"/>
      <c r="C228" s="6"/>
      <c r="D228" s="5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.5" customHeight="1" x14ac:dyDescent="0.3">
      <c r="A229" s="5"/>
      <c r="B229" s="5"/>
      <c r="C229" s="6"/>
      <c r="D229" s="5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.5" customHeight="1" x14ac:dyDescent="0.3">
      <c r="A230" s="5"/>
      <c r="B230" s="5"/>
      <c r="C230" s="6"/>
      <c r="D230" s="5"/>
      <c r="E230" s="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.5" customHeight="1" x14ac:dyDescent="0.3">
      <c r="A231" s="5"/>
      <c r="B231" s="5"/>
      <c r="C231" s="6"/>
      <c r="D231" s="5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.5" customHeight="1" x14ac:dyDescent="0.3">
      <c r="A232" s="5"/>
      <c r="B232" s="5"/>
      <c r="C232" s="6"/>
      <c r="D232" s="5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.5" customHeight="1" x14ac:dyDescent="0.3">
      <c r="A233" s="5"/>
      <c r="B233" s="5"/>
      <c r="C233" s="6"/>
      <c r="D233" s="5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.5" customHeight="1" x14ac:dyDescent="0.3">
      <c r="A234" s="5"/>
      <c r="B234" s="5"/>
      <c r="C234" s="6"/>
      <c r="D234" s="5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.5" customHeight="1" x14ac:dyDescent="0.3">
      <c r="A235" s="5"/>
      <c r="B235" s="5"/>
      <c r="C235" s="6"/>
      <c r="D235" s="5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.5" customHeight="1" x14ac:dyDescent="0.3">
      <c r="A236" s="5"/>
      <c r="B236" s="5"/>
      <c r="C236" s="6"/>
      <c r="D236" s="5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.5" customHeight="1" x14ac:dyDescent="0.3">
      <c r="A237" s="5"/>
      <c r="B237" s="5"/>
      <c r="C237" s="6"/>
      <c r="D237" s="5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.5" customHeight="1" x14ac:dyDescent="0.3">
      <c r="A238" s="5"/>
      <c r="B238" s="5"/>
      <c r="C238" s="6"/>
      <c r="D238" s="5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.5" customHeight="1" x14ac:dyDescent="0.3">
      <c r="A239" s="5"/>
      <c r="B239" s="5"/>
      <c r="C239" s="6"/>
      <c r="D239" s="5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.5" customHeight="1" x14ac:dyDescent="0.3">
      <c r="A240" s="5"/>
      <c r="B240" s="5"/>
      <c r="C240" s="6"/>
      <c r="D240" s="5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.5" customHeight="1" x14ac:dyDescent="0.3">
      <c r="A241" s="5"/>
      <c r="B241" s="5"/>
      <c r="C241" s="6"/>
      <c r="D241" s="5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.5" customHeight="1" x14ac:dyDescent="0.3">
      <c r="A242" s="5"/>
      <c r="B242" s="5"/>
      <c r="C242" s="6"/>
      <c r="D242" s="5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.5" customHeight="1" x14ac:dyDescent="0.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3.5" customHeight="1" x14ac:dyDescent="0.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3.5" customHeight="1" x14ac:dyDescent="0.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3.5" customHeight="1" x14ac:dyDescent="0.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3.5" customHeight="1" x14ac:dyDescent="0.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3.5" customHeight="1" x14ac:dyDescent="0.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3.5" customHeight="1" x14ac:dyDescent="0.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3.5" customHeight="1" x14ac:dyDescent="0.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3.5" customHeight="1" x14ac:dyDescent="0.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3.5" customHeight="1" x14ac:dyDescent="0.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3.5" customHeight="1" x14ac:dyDescent="0.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3.5" customHeight="1" x14ac:dyDescent="0.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3.5" customHeight="1" x14ac:dyDescent="0.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3.5" customHeight="1" x14ac:dyDescent="0.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3.5" customHeight="1" x14ac:dyDescent="0.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3.5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3.5" customHeight="1" x14ac:dyDescent="0.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3.5" customHeight="1" x14ac:dyDescent="0.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3.5" customHeight="1" x14ac:dyDescent="0.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3.5" customHeight="1" x14ac:dyDescent="0.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3.5" customHeight="1" x14ac:dyDescent="0.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3.5" customHeight="1" x14ac:dyDescent="0.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3.5" customHeight="1" x14ac:dyDescent="0.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3.5" customHeight="1" x14ac:dyDescent="0.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3.5" customHeight="1" x14ac:dyDescent="0.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3.5" customHeight="1" x14ac:dyDescent="0.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3.5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3.5" customHeight="1" x14ac:dyDescent="0.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3.5" customHeight="1" x14ac:dyDescent="0.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3.5" customHeight="1" x14ac:dyDescent="0.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3.5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3.5" customHeight="1" x14ac:dyDescent="0.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3.5" customHeight="1" x14ac:dyDescent="0.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3.5" customHeight="1" x14ac:dyDescent="0.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3.5" customHeight="1" x14ac:dyDescent="0.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3.5" customHeight="1" x14ac:dyDescent="0.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3.5" customHeight="1" x14ac:dyDescent="0.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3.5" customHeight="1" x14ac:dyDescent="0.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3.5" customHeight="1" x14ac:dyDescent="0.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3.5" customHeight="1" x14ac:dyDescent="0.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3.5" customHeight="1" x14ac:dyDescent="0.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3.5" customHeight="1" x14ac:dyDescent="0.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3.5" customHeight="1" x14ac:dyDescent="0.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3.5" customHeight="1" x14ac:dyDescent="0.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3.5" customHeight="1" x14ac:dyDescent="0.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3.5" customHeight="1" x14ac:dyDescent="0.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3.5" customHeight="1" x14ac:dyDescent="0.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3.5" customHeight="1" x14ac:dyDescent="0.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3.5" customHeight="1" x14ac:dyDescent="0.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3.5" customHeight="1" x14ac:dyDescent="0.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3.5" customHeight="1" x14ac:dyDescent="0.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3.5" customHeight="1" x14ac:dyDescent="0.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3.5" customHeight="1" x14ac:dyDescent="0.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3.5" customHeight="1" x14ac:dyDescent="0.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3.5" customHeight="1" x14ac:dyDescent="0.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3.5" customHeight="1" x14ac:dyDescent="0.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3.5" customHeight="1" x14ac:dyDescent="0.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3.5" customHeight="1" x14ac:dyDescent="0.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3.5" customHeight="1" x14ac:dyDescent="0.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3.5" customHeight="1" x14ac:dyDescent="0.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3.5" customHeight="1" x14ac:dyDescent="0.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3.5" customHeight="1" x14ac:dyDescent="0.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3.5" customHeight="1" x14ac:dyDescent="0.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3.5" customHeight="1" x14ac:dyDescent="0.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3.5" customHeight="1" x14ac:dyDescent="0.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3.5" customHeight="1" x14ac:dyDescent="0.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3.5" customHeight="1" x14ac:dyDescent="0.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3.5" customHeight="1" x14ac:dyDescent="0.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3.5" customHeight="1" x14ac:dyDescent="0.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3.5" customHeight="1" x14ac:dyDescent="0.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3.5" customHeight="1" x14ac:dyDescent="0.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3.5" customHeight="1" x14ac:dyDescent="0.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3.5" customHeight="1" x14ac:dyDescent="0.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3.5" customHeight="1" x14ac:dyDescent="0.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3.5" customHeight="1" x14ac:dyDescent="0.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3.5" customHeight="1" x14ac:dyDescent="0.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3.5" customHeight="1" x14ac:dyDescent="0.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3.5" customHeight="1" x14ac:dyDescent="0.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3.5" customHeight="1" x14ac:dyDescent="0.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3.5" customHeight="1" x14ac:dyDescent="0.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3.5" customHeight="1" x14ac:dyDescent="0.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3.5" customHeight="1" x14ac:dyDescent="0.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3.5" customHeight="1" x14ac:dyDescent="0.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3.5" customHeight="1" x14ac:dyDescent="0.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3.5" customHeight="1" x14ac:dyDescent="0.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3.5" customHeight="1" x14ac:dyDescent="0.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3.5" customHeight="1" x14ac:dyDescent="0.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3.5" customHeight="1" x14ac:dyDescent="0.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3.5" customHeight="1" x14ac:dyDescent="0.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3.5" customHeight="1" x14ac:dyDescent="0.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3.5" customHeight="1" x14ac:dyDescent="0.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3.5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3.5" customHeight="1" x14ac:dyDescent="0.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3.5" customHeight="1" x14ac:dyDescent="0.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3.5" customHeight="1" x14ac:dyDescent="0.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3.5" customHeight="1" x14ac:dyDescent="0.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3.5" customHeight="1" x14ac:dyDescent="0.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3.5" customHeight="1" x14ac:dyDescent="0.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3.5" customHeight="1" x14ac:dyDescent="0.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3.5" customHeight="1" x14ac:dyDescent="0.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3.5" customHeight="1" x14ac:dyDescent="0.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3.5" customHeight="1" x14ac:dyDescent="0.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3.5" customHeight="1" x14ac:dyDescent="0.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3.5" customHeight="1" x14ac:dyDescent="0.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3.5" customHeight="1" x14ac:dyDescent="0.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3.5" customHeight="1" x14ac:dyDescent="0.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3.5" customHeight="1" x14ac:dyDescent="0.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3.5" customHeight="1" x14ac:dyDescent="0.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3.5" customHeight="1" x14ac:dyDescent="0.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3.5" customHeight="1" x14ac:dyDescent="0.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3.5" customHeight="1" x14ac:dyDescent="0.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3.5" customHeight="1" x14ac:dyDescent="0.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3.5" customHeight="1" x14ac:dyDescent="0.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3.5" customHeight="1" x14ac:dyDescent="0.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3.5" customHeight="1" x14ac:dyDescent="0.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3.5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3.5" customHeight="1" x14ac:dyDescent="0.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3.5" customHeight="1" x14ac:dyDescent="0.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3.5" customHeight="1" x14ac:dyDescent="0.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3.5" customHeight="1" x14ac:dyDescent="0.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3.5" customHeight="1" x14ac:dyDescent="0.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3.5" customHeight="1" x14ac:dyDescent="0.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3.5" customHeight="1" x14ac:dyDescent="0.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3.5" customHeight="1" x14ac:dyDescent="0.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3.5" customHeight="1" x14ac:dyDescent="0.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3.5" customHeight="1" x14ac:dyDescent="0.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3.5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3.5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3.5" customHeight="1" x14ac:dyDescent="0.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3.5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3.5" customHeight="1" x14ac:dyDescent="0.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3.5" customHeight="1" x14ac:dyDescent="0.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3.5" customHeight="1" x14ac:dyDescent="0.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3.5" customHeight="1" x14ac:dyDescent="0.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3.5" customHeight="1" x14ac:dyDescent="0.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3.5" customHeight="1" x14ac:dyDescent="0.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3.5" customHeight="1" x14ac:dyDescent="0.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3.5" customHeight="1" x14ac:dyDescent="0.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3.5" customHeight="1" x14ac:dyDescent="0.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3.5" customHeight="1" x14ac:dyDescent="0.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3.5" customHeight="1" x14ac:dyDescent="0.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3.5" customHeight="1" x14ac:dyDescent="0.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3.5" customHeight="1" x14ac:dyDescent="0.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3.5" customHeight="1" x14ac:dyDescent="0.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3.5" customHeight="1" x14ac:dyDescent="0.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5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3.5" customHeight="1" x14ac:dyDescent="0.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5" customHeight="1" x14ac:dyDescent="0.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5" customHeight="1" x14ac:dyDescent="0.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5" customHeight="1" x14ac:dyDescent="0.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5" customHeight="1" x14ac:dyDescent="0.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5" customHeight="1" x14ac:dyDescent="0.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5" customHeight="1" x14ac:dyDescent="0.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5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5" customHeight="1" x14ac:dyDescent="0.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5" customHeight="1" x14ac:dyDescent="0.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5" customHeight="1" x14ac:dyDescent="0.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5" customHeight="1" x14ac:dyDescent="0.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5" customHeight="1" x14ac:dyDescent="0.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5" customHeight="1" x14ac:dyDescent="0.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5" customHeight="1" x14ac:dyDescent="0.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5" customHeight="1" x14ac:dyDescent="0.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5" customHeight="1" x14ac:dyDescent="0.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5" customHeight="1" x14ac:dyDescent="0.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5" customHeight="1" x14ac:dyDescent="0.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5" customHeight="1" x14ac:dyDescent="0.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5" customHeight="1" x14ac:dyDescent="0.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5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5" customHeight="1" x14ac:dyDescent="0.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5" customHeight="1" x14ac:dyDescent="0.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5" customHeight="1" x14ac:dyDescent="0.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5" customHeight="1" x14ac:dyDescent="0.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5" customHeight="1" x14ac:dyDescent="0.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5" customHeight="1" x14ac:dyDescent="0.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5" customHeight="1" x14ac:dyDescent="0.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5" customHeight="1" x14ac:dyDescent="0.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5" customHeight="1" x14ac:dyDescent="0.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5" customHeight="1" x14ac:dyDescent="0.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5" customHeight="1" x14ac:dyDescent="0.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5" customHeight="1" x14ac:dyDescent="0.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5" customHeight="1" x14ac:dyDescent="0.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5" customHeight="1" x14ac:dyDescent="0.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5" customHeight="1" x14ac:dyDescent="0.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5" customHeight="1" x14ac:dyDescent="0.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5" customHeight="1" x14ac:dyDescent="0.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5" customHeight="1" x14ac:dyDescent="0.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5" customHeight="1" x14ac:dyDescent="0.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5" customHeight="1" x14ac:dyDescent="0.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5" customHeight="1" x14ac:dyDescent="0.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5" customHeight="1" x14ac:dyDescent="0.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5" customHeight="1" x14ac:dyDescent="0.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5" customHeight="1" x14ac:dyDescent="0.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5" customHeight="1" x14ac:dyDescent="0.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5" customHeight="1" x14ac:dyDescent="0.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5" customHeight="1" x14ac:dyDescent="0.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5" customHeight="1" x14ac:dyDescent="0.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5" customHeight="1" x14ac:dyDescent="0.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5" customHeight="1" x14ac:dyDescent="0.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5" customHeight="1" x14ac:dyDescent="0.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5" customHeight="1" x14ac:dyDescent="0.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5" customHeight="1" x14ac:dyDescent="0.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5" customHeight="1" x14ac:dyDescent="0.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5" customHeight="1" x14ac:dyDescent="0.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5" customHeight="1" x14ac:dyDescent="0.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5" customHeight="1" x14ac:dyDescent="0.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5" customHeight="1" x14ac:dyDescent="0.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5" customHeight="1" x14ac:dyDescent="0.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5" customHeight="1" x14ac:dyDescent="0.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5" customHeight="1" x14ac:dyDescent="0.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5" customHeight="1" x14ac:dyDescent="0.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5" customHeight="1" x14ac:dyDescent="0.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5" customHeight="1" x14ac:dyDescent="0.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5" customHeight="1" x14ac:dyDescent="0.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5" customHeight="1" x14ac:dyDescent="0.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5" customHeight="1" x14ac:dyDescent="0.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5" customHeight="1" x14ac:dyDescent="0.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5" customHeight="1" x14ac:dyDescent="0.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5" customHeight="1" x14ac:dyDescent="0.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5" customHeight="1" x14ac:dyDescent="0.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5" customHeight="1" x14ac:dyDescent="0.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5" customHeight="1" x14ac:dyDescent="0.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5" customHeight="1" x14ac:dyDescent="0.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5" customHeight="1" x14ac:dyDescent="0.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5" customHeight="1" x14ac:dyDescent="0.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5" customHeight="1" x14ac:dyDescent="0.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5" customHeight="1" x14ac:dyDescent="0.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5" customHeight="1" x14ac:dyDescent="0.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5" customHeight="1" x14ac:dyDescent="0.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5" customHeight="1" x14ac:dyDescent="0.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5" customHeight="1" x14ac:dyDescent="0.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5" customHeight="1" x14ac:dyDescent="0.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5" customHeight="1" x14ac:dyDescent="0.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5" customHeight="1" x14ac:dyDescent="0.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5" customHeight="1" x14ac:dyDescent="0.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5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5" customHeight="1" x14ac:dyDescent="0.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5" customHeight="1" x14ac:dyDescent="0.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5" customHeight="1" x14ac:dyDescent="0.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5" customHeight="1" x14ac:dyDescent="0.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5" customHeight="1" x14ac:dyDescent="0.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5" customHeight="1" x14ac:dyDescent="0.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5" customHeight="1" x14ac:dyDescent="0.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5" customHeight="1" x14ac:dyDescent="0.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5" customHeight="1" x14ac:dyDescent="0.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5" customHeight="1" x14ac:dyDescent="0.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5" customHeight="1" x14ac:dyDescent="0.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5" customHeight="1" x14ac:dyDescent="0.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5" customHeight="1" x14ac:dyDescent="0.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5" customHeight="1" x14ac:dyDescent="0.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5" customHeight="1" x14ac:dyDescent="0.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5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5" customHeight="1" x14ac:dyDescent="0.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5" customHeight="1" x14ac:dyDescent="0.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5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5" customHeight="1" x14ac:dyDescent="0.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5" customHeight="1" x14ac:dyDescent="0.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5" customHeight="1" x14ac:dyDescent="0.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5" customHeight="1" x14ac:dyDescent="0.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5" customHeight="1" x14ac:dyDescent="0.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5" customHeight="1" x14ac:dyDescent="0.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5" customHeight="1" x14ac:dyDescent="0.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5" customHeight="1" x14ac:dyDescent="0.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5" customHeight="1" x14ac:dyDescent="0.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5" customHeight="1" x14ac:dyDescent="0.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5" customHeight="1" x14ac:dyDescent="0.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5" customHeight="1" x14ac:dyDescent="0.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5" customHeight="1" x14ac:dyDescent="0.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5" customHeight="1" x14ac:dyDescent="0.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5" customHeight="1" x14ac:dyDescent="0.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5" customHeight="1" x14ac:dyDescent="0.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5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5" customHeight="1" x14ac:dyDescent="0.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5" customHeight="1" x14ac:dyDescent="0.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5" customHeight="1" x14ac:dyDescent="0.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5" customHeight="1" x14ac:dyDescent="0.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5" customHeight="1" x14ac:dyDescent="0.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5" customHeight="1" x14ac:dyDescent="0.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5" customHeight="1" x14ac:dyDescent="0.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5" customHeight="1" x14ac:dyDescent="0.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5" customHeight="1" x14ac:dyDescent="0.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5" customHeight="1" x14ac:dyDescent="0.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5" customHeight="1" x14ac:dyDescent="0.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5" customHeight="1" x14ac:dyDescent="0.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5" customHeight="1" x14ac:dyDescent="0.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5" customHeight="1" x14ac:dyDescent="0.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5" customHeight="1" x14ac:dyDescent="0.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5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5" customHeight="1" x14ac:dyDescent="0.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5" customHeight="1" x14ac:dyDescent="0.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5" customHeight="1" x14ac:dyDescent="0.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5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5" customHeight="1" x14ac:dyDescent="0.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5" customHeight="1" x14ac:dyDescent="0.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5" customHeight="1" x14ac:dyDescent="0.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5" customHeight="1" x14ac:dyDescent="0.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5" customHeight="1" x14ac:dyDescent="0.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5" customHeight="1" x14ac:dyDescent="0.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5" customHeight="1" x14ac:dyDescent="0.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5" customHeight="1" x14ac:dyDescent="0.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5" customHeight="1" x14ac:dyDescent="0.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5" customHeight="1" x14ac:dyDescent="0.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5" customHeight="1" x14ac:dyDescent="0.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5" customHeight="1" x14ac:dyDescent="0.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5" customHeight="1" x14ac:dyDescent="0.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5" customHeight="1" x14ac:dyDescent="0.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5" customHeight="1" x14ac:dyDescent="0.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5" customHeight="1" x14ac:dyDescent="0.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5" customHeight="1" x14ac:dyDescent="0.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5" customHeight="1" x14ac:dyDescent="0.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5" customHeight="1" x14ac:dyDescent="0.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5" customHeight="1" x14ac:dyDescent="0.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5" customHeight="1" x14ac:dyDescent="0.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5" customHeight="1" x14ac:dyDescent="0.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5" customHeight="1" x14ac:dyDescent="0.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5" customHeight="1" x14ac:dyDescent="0.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5" customHeight="1" x14ac:dyDescent="0.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5" customHeight="1" x14ac:dyDescent="0.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5" customHeight="1" x14ac:dyDescent="0.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5" customHeight="1" x14ac:dyDescent="0.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5" customHeight="1" x14ac:dyDescent="0.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5" customHeight="1" x14ac:dyDescent="0.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5" customHeight="1" x14ac:dyDescent="0.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5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5" customHeight="1" x14ac:dyDescent="0.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5" customHeight="1" x14ac:dyDescent="0.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5" customHeight="1" x14ac:dyDescent="0.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5" customHeight="1" x14ac:dyDescent="0.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5" customHeight="1" x14ac:dyDescent="0.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5" customHeight="1" x14ac:dyDescent="0.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5" customHeight="1" x14ac:dyDescent="0.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5" customHeight="1" x14ac:dyDescent="0.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5" customHeight="1" x14ac:dyDescent="0.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5" customHeight="1" x14ac:dyDescent="0.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5" customHeight="1" x14ac:dyDescent="0.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5" customHeight="1" x14ac:dyDescent="0.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5" customHeight="1" x14ac:dyDescent="0.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5" customHeight="1" x14ac:dyDescent="0.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5" customHeight="1" x14ac:dyDescent="0.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5" customHeight="1" x14ac:dyDescent="0.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5" customHeight="1" x14ac:dyDescent="0.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5" customHeight="1" x14ac:dyDescent="0.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5" customHeight="1" x14ac:dyDescent="0.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5" customHeight="1" x14ac:dyDescent="0.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5" customHeight="1" x14ac:dyDescent="0.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5" customHeight="1" x14ac:dyDescent="0.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5" customHeight="1" x14ac:dyDescent="0.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5" customHeight="1" x14ac:dyDescent="0.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5" customHeight="1" x14ac:dyDescent="0.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5" customHeight="1" x14ac:dyDescent="0.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5" customHeight="1" x14ac:dyDescent="0.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5" customHeight="1" x14ac:dyDescent="0.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5" customHeight="1" x14ac:dyDescent="0.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5" customHeight="1" x14ac:dyDescent="0.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5" customHeight="1" x14ac:dyDescent="0.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5" customHeight="1" x14ac:dyDescent="0.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5" customHeight="1" x14ac:dyDescent="0.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5" customHeight="1" x14ac:dyDescent="0.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5" customHeight="1" x14ac:dyDescent="0.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5" customHeight="1" x14ac:dyDescent="0.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5" customHeight="1" x14ac:dyDescent="0.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5" customHeight="1" x14ac:dyDescent="0.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5" customHeight="1" x14ac:dyDescent="0.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5" customHeight="1" x14ac:dyDescent="0.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5" customHeight="1" x14ac:dyDescent="0.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5" customHeight="1" x14ac:dyDescent="0.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5" customHeight="1" x14ac:dyDescent="0.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5" customHeight="1" x14ac:dyDescent="0.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5" customHeight="1" x14ac:dyDescent="0.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5" customHeight="1" x14ac:dyDescent="0.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5" customHeight="1" x14ac:dyDescent="0.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5" customHeight="1" x14ac:dyDescent="0.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5" customHeight="1" x14ac:dyDescent="0.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5" customHeight="1" x14ac:dyDescent="0.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5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5" customHeight="1" x14ac:dyDescent="0.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5" customHeight="1" x14ac:dyDescent="0.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5" customHeight="1" x14ac:dyDescent="0.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5" customHeight="1" x14ac:dyDescent="0.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5" customHeight="1" x14ac:dyDescent="0.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5" customHeight="1" x14ac:dyDescent="0.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5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5" customHeight="1" x14ac:dyDescent="0.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5" customHeight="1" x14ac:dyDescent="0.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5" customHeight="1" x14ac:dyDescent="0.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5" customHeight="1" x14ac:dyDescent="0.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5" customHeight="1" x14ac:dyDescent="0.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5" customHeight="1" x14ac:dyDescent="0.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5" customHeight="1" x14ac:dyDescent="0.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5" customHeight="1" x14ac:dyDescent="0.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5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5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5" customHeight="1" x14ac:dyDescent="0.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5" customHeight="1" x14ac:dyDescent="0.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5" customHeight="1" x14ac:dyDescent="0.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5" customHeight="1" x14ac:dyDescent="0.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5" customHeight="1" x14ac:dyDescent="0.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5" customHeight="1" x14ac:dyDescent="0.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5" customHeight="1" x14ac:dyDescent="0.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5" customHeight="1" x14ac:dyDescent="0.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5" customHeight="1" x14ac:dyDescent="0.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5" customHeight="1" x14ac:dyDescent="0.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5" customHeight="1" x14ac:dyDescent="0.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5" customHeight="1" x14ac:dyDescent="0.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5" customHeight="1" x14ac:dyDescent="0.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5" customHeight="1" x14ac:dyDescent="0.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5" customHeight="1" x14ac:dyDescent="0.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5" customHeight="1" x14ac:dyDescent="0.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5" customHeight="1" x14ac:dyDescent="0.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5" customHeight="1" x14ac:dyDescent="0.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5" customHeight="1" x14ac:dyDescent="0.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5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5" customHeight="1" x14ac:dyDescent="0.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5" customHeight="1" x14ac:dyDescent="0.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5" customHeight="1" x14ac:dyDescent="0.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5" customHeight="1" x14ac:dyDescent="0.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5" customHeight="1" x14ac:dyDescent="0.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5" customHeight="1" x14ac:dyDescent="0.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5" customHeight="1" x14ac:dyDescent="0.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5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5" customHeight="1" x14ac:dyDescent="0.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5" customHeight="1" x14ac:dyDescent="0.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5" customHeight="1" x14ac:dyDescent="0.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5" customHeight="1" x14ac:dyDescent="0.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5" customHeight="1" x14ac:dyDescent="0.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5" customHeight="1" x14ac:dyDescent="0.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5" customHeight="1" x14ac:dyDescent="0.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5" customHeight="1" x14ac:dyDescent="0.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5" customHeight="1" x14ac:dyDescent="0.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5" customHeight="1" x14ac:dyDescent="0.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5" customHeight="1" x14ac:dyDescent="0.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5" customHeight="1" x14ac:dyDescent="0.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5" customHeight="1" x14ac:dyDescent="0.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5" customHeight="1" x14ac:dyDescent="0.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5" customHeight="1" x14ac:dyDescent="0.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5" customHeight="1" x14ac:dyDescent="0.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5" customHeight="1" x14ac:dyDescent="0.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5" customHeight="1" x14ac:dyDescent="0.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5" customHeight="1" x14ac:dyDescent="0.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5" customHeight="1" x14ac:dyDescent="0.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5" customHeight="1" x14ac:dyDescent="0.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5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5" customHeight="1" x14ac:dyDescent="0.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5" customHeight="1" x14ac:dyDescent="0.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5" customHeight="1" x14ac:dyDescent="0.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5" customHeight="1" x14ac:dyDescent="0.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5" customHeight="1" x14ac:dyDescent="0.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5" customHeight="1" x14ac:dyDescent="0.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5" customHeight="1" x14ac:dyDescent="0.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5" customHeight="1" x14ac:dyDescent="0.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5" customHeight="1" x14ac:dyDescent="0.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5" customHeight="1" x14ac:dyDescent="0.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5" customHeight="1" x14ac:dyDescent="0.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5" customHeight="1" x14ac:dyDescent="0.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5" customHeight="1" x14ac:dyDescent="0.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5" customHeight="1" x14ac:dyDescent="0.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5" customHeight="1" x14ac:dyDescent="0.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5" customHeight="1" x14ac:dyDescent="0.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5" customHeight="1" x14ac:dyDescent="0.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5" customHeight="1" x14ac:dyDescent="0.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5" customHeight="1" x14ac:dyDescent="0.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5" customHeight="1" x14ac:dyDescent="0.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5" customHeight="1" x14ac:dyDescent="0.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5" customHeight="1" x14ac:dyDescent="0.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5" customHeight="1" x14ac:dyDescent="0.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5" customHeight="1" x14ac:dyDescent="0.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5" customHeight="1" x14ac:dyDescent="0.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5" customHeight="1" x14ac:dyDescent="0.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5" customHeight="1" x14ac:dyDescent="0.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5" customHeight="1" x14ac:dyDescent="0.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5" customHeight="1" x14ac:dyDescent="0.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5" customHeight="1" x14ac:dyDescent="0.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5" customHeight="1" x14ac:dyDescent="0.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5" customHeight="1" x14ac:dyDescent="0.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5" customHeight="1" x14ac:dyDescent="0.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5" customHeight="1" x14ac:dyDescent="0.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5" customHeight="1" x14ac:dyDescent="0.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5" customHeight="1" x14ac:dyDescent="0.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5" customHeight="1" x14ac:dyDescent="0.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5" customHeight="1" x14ac:dyDescent="0.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5" customHeight="1" x14ac:dyDescent="0.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5" customHeight="1" x14ac:dyDescent="0.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5" customHeight="1" x14ac:dyDescent="0.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5" customHeight="1" x14ac:dyDescent="0.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5" customHeight="1" x14ac:dyDescent="0.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5" customHeight="1" x14ac:dyDescent="0.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5" customHeight="1" x14ac:dyDescent="0.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5" customHeight="1" x14ac:dyDescent="0.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5" customHeight="1" x14ac:dyDescent="0.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5" customHeight="1" x14ac:dyDescent="0.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5" customHeight="1" x14ac:dyDescent="0.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5" customHeight="1" x14ac:dyDescent="0.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5" customHeight="1" x14ac:dyDescent="0.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5" customHeight="1" x14ac:dyDescent="0.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5" customHeight="1" x14ac:dyDescent="0.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5" customHeight="1" x14ac:dyDescent="0.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5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5" customHeight="1" x14ac:dyDescent="0.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5" customHeight="1" x14ac:dyDescent="0.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5" customHeight="1" x14ac:dyDescent="0.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5" customHeight="1" x14ac:dyDescent="0.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5" customHeight="1" x14ac:dyDescent="0.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5" customHeight="1" x14ac:dyDescent="0.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5" customHeight="1" x14ac:dyDescent="0.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5" customHeight="1" x14ac:dyDescent="0.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5" customHeight="1" x14ac:dyDescent="0.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5" customHeight="1" x14ac:dyDescent="0.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5" customHeight="1" x14ac:dyDescent="0.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5" customHeight="1" x14ac:dyDescent="0.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5" customHeight="1" x14ac:dyDescent="0.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5" customHeight="1" x14ac:dyDescent="0.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5" customHeight="1" x14ac:dyDescent="0.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5" customHeight="1" x14ac:dyDescent="0.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5" customHeight="1" x14ac:dyDescent="0.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5" customHeight="1" x14ac:dyDescent="0.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5" customHeight="1" x14ac:dyDescent="0.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5" customHeight="1" x14ac:dyDescent="0.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5" customHeight="1" x14ac:dyDescent="0.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5" customHeight="1" x14ac:dyDescent="0.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5" customHeight="1" x14ac:dyDescent="0.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5" customHeight="1" x14ac:dyDescent="0.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5" customHeight="1" x14ac:dyDescent="0.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5" customHeight="1" x14ac:dyDescent="0.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5" customHeight="1" x14ac:dyDescent="0.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5" customHeight="1" x14ac:dyDescent="0.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5" customHeight="1" x14ac:dyDescent="0.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5" customHeight="1" x14ac:dyDescent="0.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5" customHeight="1" x14ac:dyDescent="0.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5" customHeight="1" x14ac:dyDescent="0.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5" customHeight="1" x14ac:dyDescent="0.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5" customHeight="1" x14ac:dyDescent="0.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5" customHeight="1" x14ac:dyDescent="0.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5" customHeight="1" x14ac:dyDescent="0.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5" customHeight="1" x14ac:dyDescent="0.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5" customHeight="1" x14ac:dyDescent="0.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5" customHeight="1" x14ac:dyDescent="0.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5" customHeight="1" x14ac:dyDescent="0.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5" customHeight="1" x14ac:dyDescent="0.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5" customHeight="1" x14ac:dyDescent="0.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5" customHeight="1" x14ac:dyDescent="0.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5" customHeight="1" x14ac:dyDescent="0.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5" customHeight="1" x14ac:dyDescent="0.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5" customHeight="1" x14ac:dyDescent="0.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5" customHeight="1" x14ac:dyDescent="0.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5" customHeight="1" x14ac:dyDescent="0.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5" customHeight="1" x14ac:dyDescent="0.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5" customHeight="1" x14ac:dyDescent="0.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5" customHeight="1" x14ac:dyDescent="0.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5" customHeight="1" x14ac:dyDescent="0.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5" customHeight="1" x14ac:dyDescent="0.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5" customHeight="1" x14ac:dyDescent="0.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5" customHeight="1" x14ac:dyDescent="0.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5" customHeight="1" x14ac:dyDescent="0.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5" customHeight="1" x14ac:dyDescent="0.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5" customHeight="1" x14ac:dyDescent="0.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5" customHeight="1" x14ac:dyDescent="0.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5" customHeight="1" x14ac:dyDescent="0.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5" customHeight="1" x14ac:dyDescent="0.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5" customHeight="1" x14ac:dyDescent="0.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5" customHeight="1" x14ac:dyDescent="0.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5" customHeight="1" x14ac:dyDescent="0.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5" customHeight="1" x14ac:dyDescent="0.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5" customHeight="1" x14ac:dyDescent="0.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5" customHeight="1" x14ac:dyDescent="0.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5" customHeight="1" x14ac:dyDescent="0.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5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5" customHeight="1" x14ac:dyDescent="0.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5" customHeight="1" x14ac:dyDescent="0.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5" customHeight="1" x14ac:dyDescent="0.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5" customHeight="1" x14ac:dyDescent="0.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5" customHeight="1" x14ac:dyDescent="0.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5" customHeight="1" x14ac:dyDescent="0.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5" customHeight="1" x14ac:dyDescent="0.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5" customHeight="1" x14ac:dyDescent="0.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5" customHeight="1" x14ac:dyDescent="0.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5" customHeight="1" x14ac:dyDescent="0.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5" customHeight="1" x14ac:dyDescent="0.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5" customHeight="1" x14ac:dyDescent="0.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5" customHeight="1" x14ac:dyDescent="0.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5" customHeight="1" x14ac:dyDescent="0.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5" customHeight="1" x14ac:dyDescent="0.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5" customHeight="1" x14ac:dyDescent="0.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5" customHeight="1" x14ac:dyDescent="0.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3.5" customHeight="1" x14ac:dyDescent="0.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3.5" customHeight="1" x14ac:dyDescent="0.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3.5" customHeight="1" x14ac:dyDescent="0.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3.5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3.5" customHeight="1" x14ac:dyDescent="0.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3.5" customHeight="1" x14ac:dyDescent="0.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3.5" customHeight="1" x14ac:dyDescent="0.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3.5" customHeight="1" x14ac:dyDescent="0.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3.5" customHeight="1" x14ac:dyDescent="0.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3.5" customHeight="1" x14ac:dyDescent="0.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3.5" customHeight="1" x14ac:dyDescent="0.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3.5" customHeight="1" x14ac:dyDescent="0.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3.5" customHeight="1" x14ac:dyDescent="0.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3.5" customHeight="1" x14ac:dyDescent="0.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3.5" customHeight="1" x14ac:dyDescent="0.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3.5" customHeight="1" x14ac:dyDescent="0.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3.5" customHeight="1" x14ac:dyDescent="0.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3.5" customHeight="1" x14ac:dyDescent="0.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3.5" customHeight="1" x14ac:dyDescent="0.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3.5" customHeight="1" x14ac:dyDescent="0.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3.5" customHeight="1" x14ac:dyDescent="0.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3.5" customHeight="1" x14ac:dyDescent="0.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3.5" customHeight="1" x14ac:dyDescent="0.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3.5" customHeight="1" x14ac:dyDescent="0.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3.5" customHeight="1" x14ac:dyDescent="0.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3.5" customHeight="1" x14ac:dyDescent="0.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3.5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3.5" customHeight="1" x14ac:dyDescent="0.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3.5" customHeight="1" x14ac:dyDescent="0.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3.5" customHeight="1" x14ac:dyDescent="0.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3.5" customHeight="1" x14ac:dyDescent="0.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3.5" customHeight="1" x14ac:dyDescent="0.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3.5" customHeight="1" x14ac:dyDescent="0.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3.5" customHeight="1" x14ac:dyDescent="0.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3.5" customHeight="1" x14ac:dyDescent="0.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3.5" customHeight="1" x14ac:dyDescent="0.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3.5" customHeight="1" x14ac:dyDescent="0.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3.5" customHeight="1" x14ac:dyDescent="0.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3.5" customHeight="1" x14ac:dyDescent="0.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3.5" customHeight="1" x14ac:dyDescent="0.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3.5" customHeight="1" x14ac:dyDescent="0.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3.5" customHeight="1" x14ac:dyDescent="0.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3.5" customHeight="1" x14ac:dyDescent="0.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3.5" customHeight="1" x14ac:dyDescent="0.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3.5" customHeight="1" x14ac:dyDescent="0.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3.5" customHeight="1" x14ac:dyDescent="0.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3.5" customHeight="1" x14ac:dyDescent="0.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3.5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3.5" customHeight="1" x14ac:dyDescent="0.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3.5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3.5" customHeight="1" x14ac:dyDescent="0.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3.5" customHeight="1" x14ac:dyDescent="0.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3.5" customHeight="1" x14ac:dyDescent="0.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3.5" customHeight="1" x14ac:dyDescent="0.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3.5" customHeight="1" x14ac:dyDescent="0.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3.5" customHeight="1" x14ac:dyDescent="0.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3.5" customHeight="1" x14ac:dyDescent="0.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3.5" customHeight="1" x14ac:dyDescent="0.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3.5" customHeight="1" x14ac:dyDescent="0.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3.5" customHeight="1" x14ac:dyDescent="0.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3.5" customHeight="1" x14ac:dyDescent="0.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3.5" customHeight="1" x14ac:dyDescent="0.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3.5" customHeight="1" x14ac:dyDescent="0.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3.5" customHeight="1" x14ac:dyDescent="0.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3.5" customHeight="1" x14ac:dyDescent="0.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3.5" customHeight="1" x14ac:dyDescent="0.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3.5" customHeight="1" x14ac:dyDescent="0.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3.5" customHeight="1" x14ac:dyDescent="0.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3.5" customHeight="1" x14ac:dyDescent="0.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3.5" customHeight="1" x14ac:dyDescent="0.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3.5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3.5" customHeight="1" x14ac:dyDescent="0.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3.5" customHeight="1" x14ac:dyDescent="0.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3.5" customHeight="1" x14ac:dyDescent="0.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3.5" customHeight="1" x14ac:dyDescent="0.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3.5" customHeight="1" x14ac:dyDescent="0.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3.5" customHeight="1" x14ac:dyDescent="0.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3.5" customHeight="1" x14ac:dyDescent="0.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3.5" customHeight="1" x14ac:dyDescent="0.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3.5" customHeight="1" x14ac:dyDescent="0.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3.5" customHeight="1" x14ac:dyDescent="0.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3.5" customHeight="1" x14ac:dyDescent="0.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3.5" customHeight="1" x14ac:dyDescent="0.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3.5" customHeight="1" x14ac:dyDescent="0.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3.5" customHeight="1" x14ac:dyDescent="0.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3.5" customHeight="1" x14ac:dyDescent="0.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3.5" customHeight="1" x14ac:dyDescent="0.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3.5" customHeight="1" x14ac:dyDescent="0.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3.5" customHeight="1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3.5" customHeight="1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3.5" customHeight="1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3.5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3.5" customHeight="1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3.5" customHeight="1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3.5" customHeight="1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3.5" customHeight="1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3.5" customHeight="1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3.5" customHeight="1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3.5" customHeight="1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3.5" customHeight="1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3.5" customHeight="1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3.5" customHeight="1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3.5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3.5" customHeight="1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3.5" customHeight="1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3.5" customHeight="1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3.5" customHeight="1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3.5" customHeight="1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3.5" customHeight="1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3.5" customHeight="1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3.5" customHeight="1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3.5" customHeight="1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3.5" customHeight="1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3.5" customHeight="1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3.5" customHeight="1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3.5" customHeight="1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3.5" customHeight="1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3.5" customHeight="1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3.5" customHeight="1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3.5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3.5" customHeight="1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3.5" customHeight="1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3.5" customHeight="1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3.5" customHeight="1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3.5" customHeight="1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3.5" customHeight="1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3.5" customHeight="1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3.5" customHeight="1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3.5" customHeight="1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3.5" customHeight="1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3.5" customHeight="1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3.5" customHeight="1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3.5" customHeight="1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3.5" customHeight="1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3.5" customHeight="1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3.5" customHeight="1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3.5" customHeight="1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3.5" customHeight="1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3.5" customHeight="1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3.5" customHeight="1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3.5" customHeight="1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3.5" customHeight="1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3.5" customHeight="1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3.5" customHeight="1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3.5" customHeight="1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3.5" customHeight="1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3.5" customHeight="1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3.5" customHeight="1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3.5" customHeight="1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3.5" customHeight="1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3.5" customHeight="1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3.5" customHeight="1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3.5" customHeight="1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3.5" customHeight="1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3.5" customHeight="1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3.5" customHeight="1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3.5" customHeight="1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3.5" customHeight="1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3.5" customHeight="1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3.5" customHeight="1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3.5" customHeight="1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3.5" customHeight="1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3.5" customHeight="1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3.5" customHeight="1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3.5" customHeight="1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3.5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3.5" customHeight="1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3.5" customHeight="1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3.5" customHeight="1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3.5" customHeight="1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3.5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3.5" customHeight="1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3.5" customHeight="1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3.5" customHeight="1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3.5" customHeight="1" x14ac:dyDescent="0.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3.5" customHeight="1" x14ac:dyDescent="0.3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3.5" customHeight="1" x14ac:dyDescent="0.3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3.5" customHeight="1" x14ac:dyDescent="0.3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3.5" customHeight="1" x14ac:dyDescent="0.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3.5" customHeight="1" x14ac:dyDescent="0.3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3.5" customHeight="1" x14ac:dyDescent="0.3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</sheetData>
  <autoFilter ref="A13:E24" xr:uid="{00000000-0009-0000-0000-000001000000}"/>
  <mergeCells count="4">
    <mergeCell ref="A23:D23"/>
    <mergeCell ref="A9:E9"/>
    <mergeCell ref="A2:D2"/>
    <mergeCell ref="A31:E3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9"/>
  </sheetPr>
  <dimension ref="B2:E22"/>
  <sheetViews>
    <sheetView zoomScale="145" zoomScaleNormal="145" workbookViewId="0">
      <selection activeCell="B23" sqref="B23"/>
    </sheetView>
  </sheetViews>
  <sheetFormatPr defaultColWidth="8.88671875" defaultRowHeight="13.8" x14ac:dyDescent="0.3"/>
  <cols>
    <col min="1" max="1" width="8.88671875" style="3" customWidth="1"/>
    <col min="2" max="2" width="40.6640625" style="3" bestFit="1" customWidth="1"/>
    <col min="3" max="3" width="11" style="3" bestFit="1" customWidth="1"/>
    <col min="4" max="4" width="13.6640625" style="3" customWidth="1"/>
    <col min="5" max="5" width="20.88671875" style="3" customWidth="1"/>
    <col min="6" max="6" width="14.33203125" style="3" customWidth="1"/>
    <col min="7" max="7" width="8.88671875" style="3" customWidth="1"/>
    <col min="8" max="8" width="13.6640625" style="3" bestFit="1" customWidth="1"/>
    <col min="9" max="9" width="8.88671875" style="3" customWidth="1"/>
    <col min="10" max="10" width="18.88671875" style="3" bestFit="1" customWidth="1"/>
    <col min="11" max="11" width="8.88671875" style="3" customWidth="1"/>
    <col min="12" max="16384" width="8.88671875" style="3"/>
  </cols>
  <sheetData>
    <row r="2" spans="2:5" x14ac:dyDescent="0.3">
      <c r="B2" s="35" t="s">
        <v>39</v>
      </c>
      <c r="C2" s="35" t="s">
        <v>40</v>
      </c>
    </row>
    <row r="3" spans="2:5" ht="14.4" customHeight="1" x14ac:dyDescent="0.3">
      <c r="B3" s="3" t="str">
        <f>'Tax Comp'!A14</f>
        <v>Gross salary, wages or leave pay</v>
      </c>
      <c r="C3" s="38">
        <f>'Tax Comp'!E14</f>
        <v>518811.03</v>
      </c>
    </row>
    <row r="4" spans="2:5" ht="14.4" hidden="1" customHeight="1" x14ac:dyDescent="0.3">
      <c r="B4" s="3" t="str">
        <f>'Tax Comp'!A15</f>
        <v>Bonuses / Director fees</v>
      </c>
      <c r="C4" s="38" t="str">
        <f>'Tax Comp'!E15</f>
        <v>-</v>
      </c>
    </row>
    <row r="5" spans="2:5" ht="14.4" customHeight="1" x14ac:dyDescent="0.3">
      <c r="B5" s="3" t="str">
        <f>'Tax Comp'!A16</f>
        <v>Gross tips, perquisites or other allowances</v>
      </c>
      <c r="C5" s="38">
        <f>'Tax Comp'!E16</f>
        <v>133.87</v>
      </c>
    </row>
    <row r="6" spans="2:5" ht="14.4" customHeight="1" x14ac:dyDescent="0.3">
      <c r="B6" s="3" t="str">
        <f>'Tax Comp'!A17</f>
        <v>Tax allowance (YA 2024)</v>
      </c>
      <c r="C6" s="38">
        <f>'Tax Comp'!E17</f>
        <v>165749</v>
      </c>
    </row>
    <row r="7" spans="2:5" ht="14.4" hidden="1" customHeight="1" x14ac:dyDescent="0.3">
      <c r="B7" s="3" t="str">
        <f>'Tax Comp'!A18</f>
        <v>Equity income</v>
      </c>
      <c r="C7" s="38" t="str">
        <f>'Tax Comp'!E18</f>
        <v>-</v>
      </c>
    </row>
    <row r="8" spans="2:5" ht="14.4" hidden="1" customHeight="1" x14ac:dyDescent="0.3">
      <c r="B8" s="3" t="str">
        <f>'Tax Comp'!A19</f>
        <v>Gratuity</v>
      </c>
      <c r="C8" s="38" t="str">
        <f>'Tax Comp'!E19</f>
        <v>-</v>
      </c>
    </row>
    <row r="9" spans="2:5" ht="14.4" hidden="1" customHeight="1" x14ac:dyDescent="0.3">
      <c r="B9" s="3" t="str">
        <f>'Tax Comp'!A20</f>
        <v>Payment in arrears</v>
      </c>
      <c r="C9" s="38" t="str">
        <f>'Tax Comp'!E20</f>
        <v>-</v>
      </c>
    </row>
    <row r="10" spans="2:5" ht="14.4" customHeight="1" x14ac:dyDescent="0.3">
      <c r="B10" s="3" t="str">
        <f>'Tax Comp'!A21</f>
        <v>Benefits-in-kind</v>
      </c>
      <c r="C10" s="38">
        <f>'Tax Comp'!E21</f>
        <v>19438.98</v>
      </c>
    </row>
    <row r="11" spans="2:5" ht="14.4" customHeight="1" x14ac:dyDescent="0.3">
      <c r="B11" s="3" t="str">
        <f>'Tax Comp'!A22</f>
        <v>Value of living accommodation</v>
      </c>
      <c r="C11" s="38">
        <f>'Tax Comp'!E22</f>
        <v>14112.41</v>
      </c>
    </row>
    <row r="12" spans="2:5" ht="14.4" hidden="1" customHeight="1" x14ac:dyDescent="0.3">
      <c r="B12" s="3" t="str">
        <f>'Tax Comp'!A23</f>
        <v>Refund from unapproved Pension or Provident Fund</v>
      </c>
      <c r="C12" s="38" t="str">
        <f>'Tax Comp'!E23</f>
        <v>-</v>
      </c>
    </row>
    <row r="13" spans="2:5" ht="14.4" hidden="1" customHeight="1" x14ac:dyDescent="0.3">
      <c r="B13" s="3" t="str">
        <f>'Tax Comp'!A24</f>
        <v xml:space="preserve">Compensation for loss of employment </v>
      </c>
      <c r="C13" s="38" t="str">
        <f>'Tax Comp'!E24</f>
        <v>-</v>
      </c>
    </row>
    <row r="14" spans="2:5" ht="14.4" customHeight="1" x14ac:dyDescent="0.3">
      <c r="C14" s="43">
        <f>SUM(C3:C13)</f>
        <v>718245.29</v>
      </c>
    </row>
    <row r="16" spans="2:5" ht="27.6" customHeight="1" x14ac:dyDescent="0.3">
      <c r="B16" s="36" t="s">
        <v>41</v>
      </c>
      <c r="C16" s="37" t="s">
        <v>42</v>
      </c>
      <c r="E16" s="46" t="s">
        <v>43</v>
      </c>
    </row>
    <row r="17" spans="2:5" x14ac:dyDescent="0.3">
      <c r="B17" s="39" t="s">
        <v>44</v>
      </c>
      <c r="C17" s="40">
        <v>9000</v>
      </c>
    </row>
    <row r="18" spans="2:5" ht="14.4" customHeight="1" x14ac:dyDescent="0.3">
      <c r="B18" s="39"/>
      <c r="C18" s="42">
        <f>SUM(C17:C17)</f>
        <v>9000</v>
      </c>
    </row>
    <row r="20" spans="2:5" x14ac:dyDescent="0.3">
      <c r="B20" s="35" t="s">
        <v>45</v>
      </c>
      <c r="C20" s="35" t="s">
        <v>46</v>
      </c>
      <c r="D20" s="35" t="s">
        <v>47</v>
      </c>
      <c r="E20" s="58" t="s">
        <v>48</v>
      </c>
    </row>
    <row r="21" spans="2:5" x14ac:dyDescent="0.3">
      <c r="C21" s="41"/>
      <c r="D21" s="50">
        <f>'Tax Comp'!E36</f>
        <v>166988.6</v>
      </c>
    </row>
    <row r="22" spans="2:5" ht="14.4" customHeight="1" x14ac:dyDescent="0.3">
      <c r="C22" s="38">
        <f>'Tax Comp'!E42</f>
        <v>-166988.70000000001</v>
      </c>
      <c r="E22" s="38">
        <f>'Tax Comp'!E44</f>
        <v>-0.10000000000582077</v>
      </c>
    </row>
  </sheetData>
  <autoFilter ref="B2:C14" xr:uid="{00000000-0009-0000-0000-000002000000}">
    <filterColumn colId="1">
      <filters>
        <filter val="134"/>
        <filter val="14,112"/>
        <filter val="165,749"/>
        <filter val="19,439"/>
        <filter val="518,811"/>
        <filter val="718,245.29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8be1c-5511-4288-88ac-aeef929a1e35">
      <Terms xmlns="http://schemas.microsoft.com/office/infopath/2007/PartnerControls"/>
    </lcf76f155ced4ddcb4097134ff3c332f>
    <TaxCatchAll xmlns="e637f2b2-c84b-4ba0-b67a-df9a03be6d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15232-B8F4-4685-BAD5-9DD7B186EA64}">
  <ds:schemaRefs>
    <ds:schemaRef ds:uri="http://schemas.microsoft.com/office/2006/metadata/properties"/>
    <ds:schemaRef ds:uri="http://schemas.microsoft.com/office/infopath/2007/PartnerControls"/>
    <ds:schemaRef ds:uri="a348be1c-5511-4288-88ac-aeef929a1e35"/>
    <ds:schemaRef ds:uri="e637f2b2-c84b-4ba0-b67a-df9a03be6d34"/>
  </ds:schemaRefs>
</ds:datastoreItem>
</file>

<file path=customXml/itemProps2.xml><?xml version="1.0" encoding="utf-8"?>
<ds:datastoreItem xmlns:ds="http://schemas.openxmlformats.org/officeDocument/2006/customXml" ds:itemID="{3534F2E1-578C-4B58-A957-EBD19C9F0B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093414-3BA2-4E6A-8FDE-DB82B9A6D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Summary</vt:lpstr>
      <vt:lpstr>Tax Comp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 Lum (MY)</dc:creator>
  <cp:keywords/>
  <dc:description/>
  <cp:lastModifiedBy>Nik Wahieda Nik Rahimi (MY)</cp:lastModifiedBy>
  <cp:revision/>
  <dcterms:created xsi:type="dcterms:W3CDTF">2024-12-17T01:28:14Z</dcterms:created>
  <dcterms:modified xsi:type="dcterms:W3CDTF">2025-11-19T08:06:03Z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0x0101002AC577462BAD4C4A97B15BF8CA4DF19E</vt:lpwstr>
  </property>
</Properties>
</file>